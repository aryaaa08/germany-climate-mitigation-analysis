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tiss academic material\Sem 4\Climate Change, Sustainability and Development\"/>
    </mc:Choice>
  </mc:AlternateContent>
  <xr:revisionPtr revIDLastSave="0" documentId="13_ncr:1_{5C9B4A94-FA63-4BE6-9033-84F223E44E7A}" xr6:coauthVersionLast="47" xr6:coauthVersionMax="47" xr10:uidLastSave="{00000000-0000-0000-0000-000000000000}"/>
  <bookViews>
    <workbookView xWindow="-108" yWindow="-108" windowWidth="23256" windowHeight="12456" activeTab="2" xr2:uid="{60307514-440F-4A0E-8AF5-716CE19705B3}"/>
  </bookViews>
  <sheets>
    <sheet name="mastersheet" sheetId="1" r:id="rId1"/>
    <sheet name="emissions type" sheetId="3" r:id="rId2"/>
    <sheet name="variable" sheetId="2" r:id="rId3"/>
  </sheets>
  <definedNames>
    <definedName name="_xlnm._FilterDatabase" localSheetId="0" hidden="1">mastersheet!$A$1:$L$211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62" i="1" l="1"/>
  <c r="P212" i="1"/>
  <c r="P177" i="1"/>
  <c r="P142" i="1"/>
  <c r="P107" i="1"/>
  <c r="P72" i="1"/>
  <c r="P37" i="1"/>
  <c r="Q5" i="1"/>
  <c r="F187" i="1"/>
  <c r="F177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42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07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72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37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2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203" i="1"/>
  <c r="F204" i="1"/>
  <c r="F205" i="1"/>
  <c r="F206" i="1"/>
  <c r="F207" i="1"/>
  <c r="F208" i="1"/>
  <c r="F209" i="1"/>
  <c r="F197" i="1"/>
  <c r="F202" i="1"/>
  <c r="F26" i="1"/>
  <c r="F27" i="1"/>
  <c r="F28" i="1"/>
  <c r="F29" i="1"/>
  <c r="F30" i="1"/>
  <c r="F31" i="1"/>
  <c r="F32" i="1"/>
  <c r="F33" i="1"/>
  <c r="F34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72" i="1"/>
  <c r="F173" i="1"/>
  <c r="F174" i="1"/>
  <c r="F18" i="1"/>
  <c r="F19" i="1"/>
  <c r="F20" i="1"/>
  <c r="F21" i="1"/>
  <c r="F22" i="1"/>
  <c r="F23" i="1"/>
  <c r="F24" i="1"/>
  <c r="F25" i="1"/>
  <c r="F17" i="1"/>
</calcChain>
</file>

<file path=xl/sharedStrings.xml><?xml version="1.0" encoding="utf-8"?>
<sst xmlns="http://schemas.openxmlformats.org/spreadsheetml/2006/main" count="974" uniqueCount="79">
  <si>
    <t>country</t>
  </si>
  <si>
    <t>year</t>
  </si>
  <si>
    <t>iso_code</t>
  </si>
  <si>
    <t>population</t>
  </si>
  <si>
    <t>gdp</t>
  </si>
  <si>
    <t>China</t>
  </si>
  <si>
    <t>CHN</t>
  </si>
  <si>
    <t>France</t>
  </si>
  <si>
    <t>FRA</t>
  </si>
  <si>
    <t>Germany</t>
  </si>
  <si>
    <t>DEU</t>
  </si>
  <si>
    <t>India</t>
  </si>
  <si>
    <t>IND</t>
  </si>
  <si>
    <t>United States</t>
  </si>
  <si>
    <t>USA</t>
  </si>
  <si>
    <t>GDP per capita</t>
  </si>
  <si>
    <t>co2_per_capita</t>
  </si>
  <si>
    <t>co2_per_gdp</t>
  </si>
  <si>
    <t>primary_energy_consumption</t>
  </si>
  <si>
    <t>share_global_co2</t>
  </si>
  <si>
    <t>column</t>
  </si>
  <si>
    <t>title</t>
  </si>
  <si>
    <t>description</t>
  </si>
  <si>
    <t>unit</t>
  </si>
  <si>
    <t>source</t>
  </si>
  <si>
    <t>Country</t>
  </si>
  <si>
    <t>Geographic location.</t>
  </si>
  <si>
    <t>Our World in Data - Regions (2024)</t>
  </si>
  <si>
    <t>Year</t>
  </si>
  <si>
    <t>Year of observation.</t>
  </si>
  <si>
    <t>ISO code</t>
  </si>
  <si>
    <t>ISO 3166-1 alpha-3 three-letter country codes.</t>
  </si>
  <si>
    <t>International Organization for Standardization - Regions (2023)</t>
  </si>
  <si>
    <t>Population</t>
  </si>
  <si>
    <t>Population by country, available from 10,000 BCE to 2100, based on data and estimates from different sources.</t>
  </si>
  <si>
    <t>people</t>
  </si>
  <si>
    <t>Population based on various sources (2024) [https://ourworldindata.org/population-sources]</t>
  </si>
  <si>
    <t>GDP</t>
  </si>
  <si>
    <t>Total economic output of a country or region per year. This data is adjusted for inflation and differences in living costs between countries.</t>
  </si>
  <si>
    <t>international-$ in 2011 prices ($)</t>
  </si>
  <si>
    <t>Bolt and van Zanden â€“ Maddison Project Database 2023 [https://www.rug.nl/ggdc/historicaldevelopment/maddison/releases/maddison-project-database-2023]</t>
  </si>
  <si>
    <t>Average economic output per person, calculated as GDP divided by population, adjusted for inflation and cost of living differences.</t>
  </si>
  <si>
    <t>Annual CO₂ emissions</t>
  </si>
  <si>
    <t>Annual COâ‚‚ emissions</t>
  </si>
  <si>
    <t>Annual total emissions of carbon dioxide (COâ‚‚), excluding land-use change, measured in million tonnes.</t>
  </si>
  <si>
    <t>million tonnes (Mt)</t>
  </si>
  <si>
    <t>Global Carbon Budget (2025) [https://globalcarbonbudget.org/]</t>
  </si>
  <si>
    <t>COâ‚‚ emissions per capita</t>
  </si>
  <si>
    <t>Carbon dioxide (COâ‚‚) emissions from burning fossil fuels and industrial processes. This includes emissions from transport, electricity generation, and heating, but not land-use change.</t>
  </si>
  <si>
    <t>tonnes per person (t/person)</t>
  </si>
  <si>
    <t>Global Carbon Budget (2025) [https://globalcarbonbudget.org/]; Population based on various sources (2024) [https://ourworldindata.org/population-sources]</t>
  </si>
  <si>
    <t>Global_Warming_Contribution_Share</t>
  </si>
  <si>
    <t>Share of contribution to global warming</t>
  </si>
  <si>
    <t>Measured as a percentage of the world's temperature change.</t>
  </si>
  <si>
    <t>%</t>
  </si>
  <si>
    <t>Jones et al. - National contributions to climate change (2025) [https://zenodo.org/records/7636699/latest]</t>
  </si>
  <si>
    <t>Annual COâ‚‚ emissions per GDP (kg per international-$)</t>
  </si>
  <si>
    <t>Annual total emissions of carbon dioxide (COâ‚‚), excluding land-use change, measured in kilograms per dollar of GDP (2011 international-$).</t>
  </si>
  <si>
    <t>kilograms per international-$ (kg/$)</t>
  </si>
  <si>
    <t>Global Carbon Budget (2025) [https://globalcarbonbudget.org/]; Bolt and van Zanden â€“ Maddison Project Database 2023 [https://www.rug.nl/ggdc/historicaldevelopment/maddison/releases/maddison-project-database-2023]</t>
  </si>
  <si>
    <t>Primary energy consumption</t>
  </si>
  <si>
    <t>Measured in terawatt-hours.</t>
  </si>
  <si>
    <t>terawatt-hours (TWh)</t>
  </si>
  <si>
    <t>U.S. Energy Information Administration - International Energy Data (2025) [https://www.eia.gov/opendata/bulkfiles.php]; Energy Institute - Statistical Review of World Energy (2025) [https://www.energyinst.org/statistical-review/]</t>
  </si>
  <si>
    <t>Share of global annual COâ‚‚ emissions</t>
  </si>
  <si>
    <t>Annual total emissions of carbon dioxide (COâ‚‚), excluding land-use change, measured as a percentage of global emissions of COâ‚‚ in the same year.</t>
  </si>
  <si>
    <t>NA</t>
  </si>
  <si>
    <t>World</t>
  </si>
  <si>
    <t>WOR</t>
  </si>
  <si>
    <t>Europe</t>
  </si>
  <si>
    <t>EU</t>
  </si>
  <si>
    <t>consumption_co2</t>
  </si>
  <si>
    <t>Annual consumption-based COâ‚‚ emissions</t>
  </si>
  <si>
    <t>Annual consumption-based emissions of carbon dioxide (COâ‚‚), measured in million tonnes.</t>
  </si>
  <si>
    <t>total_ghg_excluding_lucf</t>
  </si>
  <si>
    <t>Annual greenhouse gas emissions from fossil fuels and industry</t>
  </si>
  <si>
    <t>Greenhouse gas emissions are measured in tonnes of carbon dioxide-equivalents over a 100-year timescale.</t>
  </si>
  <si>
    <t>total_ghg</t>
  </si>
  <si>
    <t>Annual greenhouse gas emissions including land 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</si>
</sst>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2" fontId="0" fillId="0" borderId="0" xfId="0" applyNumberFormat="1" applyAlignment="1">
      <alignment horizontal="left"/>
    </xf>
    <xf numFmtId="0" fontId="1" fillId="0" borderId="1" xfId="0" applyFont="1" applyBorder="1"/>
    <xf numFmtId="0" fontId="1" fillId="0" borderId="1" xfId="0" applyFont="1" applyBorder="1" applyAlignment="1">
      <alignment horizontal="left"/>
    </xf>
    <xf numFmtId="2" fontId="1" fillId="0" borderId="1" xfId="0" applyNumberFormat="1" applyFont="1" applyBorder="1" applyAlignment="1">
      <alignment horizontal="left"/>
    </xf>
    <xf numFmtId="2" fontId="1" fillId="0" borderId="1" xfId="0" applyNumberFormat="1" applyFont="1" applyBorder="1" applyAlignment="1">
      <alignment horizontal="left" wrapText="1"/>
    </xf>
    <xf numFmtId="0" fontId="0" fillId="3" borderId="0" xfId="0" applyFill="1" applyAlignment="1">
      <alignment horizontal="left"/>
    </xf>
    <xf numFmtId="2" fontId="0" fillId="3" borderId="0" xfId="0" applyNumberFormat="1" applyFill="1" applyAlignment="1">
      <alignment horizontal="left"/>
    </xf>
    <xf numFmtId="0" fontId="0" fillId="4" borderId="0" xfId="0" applyFill="1" applyAlignment="1">
      <alignment horizontal="left"/>
    </xf>
    <xf numFmtId="2" fontId="0" fillId="4" borderId="0" xfId="0" applyNumberFormat="1" applyFill="1" applyAlignment="1">
      <alignment horizontal="left"/>
    </xf>
    <xf numFmtId="0" fontId="0" fillId="2" borderId="0" xfId="0" applyFill="1" applyAlignment="1">
      <alignment horizontal="left"/>
    </xf>
    <xf numFmtId="2" fontId="0" fillId="2" borderId="0" xfId="0" applyNumberFormat="1" applyFill="1" applyAlignment="1">
      <alignment horizontal="left"/>
    </xf>
    <xf numFmtId="0" fontId="0" fillId="5" borderId="0" xfId="0" applyFill="1" applyAlignment="1">
      <alignment horizontal="left"/>
    </xf>
    <xf numFmtId="2" fontId="0" fillId="5" borderId="0" xfId="0" applyNumberFormat="1" applyFill="1" applyAlignment="1">
      <alignment horizontal="left"/>
    </xf>
    <xf numFmtId="0" fontId="0" fillId="6" borderId="0" xfId="0" applyFill="1" applyAlignment="1">
      <alignment horizontal="left"/>
    </xf>
    <xf numFmtId="2" fontId="0" fillId="6" borderId="0" xfId="0" applyNumberFormat="1" applyFill="1" applyAlignment="1">
      <alignment horizontal="left"/>
    </xf>
    <xf numFmtId="0" fontId="0" fillId="7" borderId="0" xfId="0" applyFill="1" applyAlignment="1">
      <alignment horizontal="left"/>
    </xf>
    <xf numFmtId="2" fontId="0" fillId="7" borderId="0" xfId="0" applyNumberFormat="1" applyFill="1" applyAlignment="1">
      <alignment horizontal="left"/>
    </xf>
    <xf numFmtId="2" fontId="1" fillId="8" borderId="1" xfId="0" applyNumberFormat="1" applyFont="1" applyFill="1" applyBorder="1" applyAlignment="1">
      <alignment horizontal="left"/>
    </xf>
    <xf numFmtId="2" fontId="0" fillId="8" borderId="0" xfId="0" applyNumberForma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AA8A8-6FA6-41BF-B7E4-4C7FEF36A600}">
  <sheetPr codeName="Sheet1"/>
  <dimension ref="A1:R246"/>
  <sheetViews>
    <sheetView zoomScale="69" workbookViewId="0">
      <selection activeCell="D91" sqref="D91"/>
    </sheetView>
  </sheetViews>
  <sheetFormatPr defaultRowHeight="14.4" x14ac:dyDescent="0.3"/>
  <cols>
    <col min="1" max="1" width="11.88671875" style="1" bestFit="1" customWidth="1"/>
    <col min="2" max="3" width="8.88671875" style="1"/>
    <col min="4" max="4" width="15.5546875" style="1" customWidth="1"/>
    <col min="5" max="5" width="24.88671875" style="2" customWidth="1"/>
    <col min="6" max="6" width="19.109375" style="2" customWidth="1"/>
    <col min="7" max="7" width="18.6640625" style="2" bestFit="1" customWidth="1"/>
    <col min="8" max="8" width="16.88671875" style="20" customWidth="1"/>
    <col min="9" max="9" width="17.88671875" style="2" customWidth="1"/>
    <col min="10" max="10" width="13.88671875" style="2" customWidth="1"/>
    <col min="11" max="11" width="17.21875" style="2" customWidth="1"/>
    <col min="12" max="12" width="17.5546875" style="2" customWidth="1"/>
    <col min="13" max="13" width="16.21875" style="2" bestFit="1" customWidth="1"/>
    <col min="14" max="14" width="10" style="2" bestFit="1" customWidth="1"/>
    <col min="15" max="15" width="21.5546875" style="2" bestFit="1" customWidth="1"/>
    <col min="16" max="16384" width="8.88671875" style="1"/>
  </cols>
  <sheetData>
    <row r="1" spans="1:17" s="4" customFormat="1" ht="28.2" customHeight="1" x14ac:dyDescent="0.3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15</v>
      </c>
      <c r="G1" s="5" t="s">
        <v>42</v>
      </c>
      <c r="H1" s="19" t="s">
        <v>16</v>
      </c>
      <c r="I1" s="6" t="s">
        <v>51</v>
      </c>
      <c r="J1" s="5" t="s">
        <v>17</v>
      </c>
      <c r="K1" s="6" t="s">
        <v>18</v>
      </c>
      <c r="L1" s="5" t="s">
        <v>19</v>
      </c>
      <c r="M1" s="5" t="s">
        <v>71</v>
      </c>
      <c r="N1" s="5" t="s">
        <v>77</v>
      </c>
      <c r="O1" s="5" t="s">
        <v>74</v>
      </c>
    </row>
    <row r="2" spans="1:17" s="7" customFormat="1" x14ac:dyDescent="0.3">
      <c r="A2" s="7" t="s">
        <v>5</v>
      </c>
      <c r="B2" s="7">
        <v>1990</v>
      </c>
      <c r="C2" s="7" t="s">
        <v>6</v>
      </c>
      <c r="D2" s="7">
        <v>1153582725</v>
      </c>
      <c r="E2" s="8">
        <v>3390000000000</v>
      </c>
      <c r="F2" s="8">
        <f>E2/D2</f>
        <v>2938.6709132628525</v>
      </c>
      <c r="G2" s="8">
        <v>2483.5340000000001</v>
      </c>
      <c r="H2" s="20">
        <v>2.153</v>
      </c>
      <c r="I2" s="8">
        <v>7.3289999999999997</v>
      </c>
      <c r="J2" s="8">
        <v>0.73399999999999999</v>
      </c>
      <c r="K2" s="8">
        <v>7938.25</v>
      </c>
      <c r="L2" s="8">
        <v>10.925000000000001</v>
      </c>
      <c r="M2" s="8">
        <v>2360.7710000000002</v>
      </c>
      <c r="N2" s="8">
        <v>4205.1670000000004</v>
      </c>
      <c r="O2" s="8">
        <v>3050.701</v>
      </c>
    </row>
    <row r="3" spans="1:17" s="7" customFormat="1" x14ac:dyDescent="0.3">
      <c r="A3" s="7" t="s">
        <v>5</v>
      </c>
      <c r="B3" s="7">
        <v>1991</v>
      </c>
      <c r="C3" s="7" t="s">
        <v>6</v>
      </c>
      <c r="D3" s="7">
        <v>1170788533</v>
      </c>
      <c r="E3" s="8">
        <v>3510000000000</v>
      </c>
      <c r="F3" s="8">
        <f t="shared" ref="F3:F16" si="0">E3/D3</f>
        <v>2997.9794822606109</v>
      </c>
      <c r="G3" s="8">
        <v>2619.143</v>
      </c>
      <c r="H3" s="20">
        <v>2.2370000000000001</v>
      </c>
      <c r="I3" s="8">
        <v>7.4210000000000003</v>
      </c>
      <c r="J3" s="8">
        <v>0.746</v>
      </c>
      <c r="K3" s="8">
        <v>8337.61</v>
      </c>
      <c r="L3" s="8">
        <v>11.287000000000001</v>
      </c>
      <c r="M3" s="8">
        <v>2457.9169999999999</v>
      </c>
      <c r="N3" s="8">
        <v>4315.0590000000002</v>
      </c>
      <c r="O3" s="8">
        <v>3185.453</v>
      </c>
    </row>
    <row r="4" spans="1:17" s="7" customFormat="1" x14ac:dyDescent="0.3">
      <c r="A4" s="7" t="s">
        <v>5</v>
      </c>
      <c r="B4" s="7">
        <v>1992</v>
      </c>
      <c r="C4" s="7" t="s">
        <v>6</v>
      </c>
      <c r="D4" s="7">
        <v>1184574236</v>
      </c>
      <c r="E4" s="8">
        <v>3760000000000</v>
      </c>
      <c r="F4" s="8">
        <f t="shared" si="0"/>
        <v>3174.1362303274</v>
      </c>
      <c r="G4" s="8">
        <v>2731.29</v>
      </c>
      <c r="H4" s="20">
        <v>2.306</v>
      </c>
      <c r="I4" s="8">
        <v>7.516</v>
      </c>
      <c r="J4" s="8">
        <v>0.72699999999999998</v>
      </c>
      <c r="K4" s="8">
        <v>8773.7080000000005</v>
      </c>
      <c r="L4" s="8">
        <v>12.128</v>
      </c>
      <c r="M4" s="8">
        <v>2658.1840000000002</v>
      </c>
      <c r="N4" s="8">
        <v>4445.9560000000001</v>
      </c>
      <c r="O4" s="8">
        <v>3302.529</v>
      </c>
    </row>
    <row r="5" spans="1:17" s="7" customFormat="1" x14ac:dyDescent="0.3">
      <c r="A5" s="7" t="s">
        <v>5</v>
      </c>
      <c r="B5" s="7">
        <v>1993</v>
      </c>
      <c r="C5" s="7" t="s">
        <v>6</v>
      </c>
      <c r="D5" s="7">
        <v>1197308574</v>
      </c>
      <c r="E5" s="8">
        <v>4130000000000</v>
      </c>
      <c r="F5" s="8">
        <f t="shared" si="0"/>
        <v>3449.4031778310809</v>
      </c>
      <c r="G5" s="8">
        <v>2914.2840000000001</v>
      </c>
      <c r="H5" s="20">
        <v>2.4340000000000002</v>
      </c>
      <c r="I5" s="8">
        <v>7.617</v>
      </c>
      <c r="J5" s="8">
        <v>0.70599999999999996</v>
      </c>
      <c r="K5" s="8">
        <v>9457.634</v>
      </c>
      <c r="L5" s="8">
        <v>12.81</v>
      </c>
      <c r="M5" s="8">
        <v>2810.0929999999998</v>
      </c>
      <c r="N5" s="8">
        <v>4591.3540000000003</v>
      </c>
      <c r="O5" s="8">
        <v>3497.279</v>
      </c>
      <c r="Q5" s="8">
        <f>AVERAGE(H2:H36)</f>
        <v>5.1501999999999999</v>
      </c>
    </row>
    <row r="6" spans="1:17" s="7" customFormat="1" x14ac:dyDescent="0.3">
      <c r="A6" s="7" t="s">
        <v>5</v>
      </c>
      <c r="B6" s="7">
        <v>1994</v>
      </c>
      <c r="C6" s="7" t="s">
        <v>6</v>
      </c>
      <c r="D6" s="7">
        <v>1209003099</v>
      </c>
      <c r="E6" s="8">
        <v>4440000000000</v>
      </c>
      <c r="F6" s="8">
        <f t="shared" si="0"/>
        <v>3672.4471621887878</v>
      </c>
      <c r="G6" s="8">
        <v>3093.8910000000001</v>
      </c>
      <c r="H6" s="20">
        <v>2.5590000000000002</v>
      </c>
      <c r="I6" s="8">
        <v>7.7249999999999996</v>
      </c>
      <c r="J6" s="8">
        <v>0.69699999999999995</v>
      </c>
      <c r="K6" s="8">
        <v>10048.812</v>
      </c>
      <c r="L6" s="8">
        <v>13.467000000000001</v>
      </c>
      <c r="M6" s="8">
        <v>2792.0390000000002</v>
      </c>
      <c r="N6" s="8">
        <v>4901.6009999999997</v>
      </c>
      <c r="O6" s="8">
        <v>3692.7460000000001</v>
      </c>
    </row>
    <row r="7" spans="1:17" s="7" customFormat="1" x14ac:dyDescent="0.3">
      <c r="A7" s="7" t="s">
        <v>5</v>
      </c>
      <c r="B7" s="7">
        <v>1995</v>
      </c>
      <c r="C7" s="7" t="s">
        <v>6</v>
      </c>
      <c r="D7" s="7">
        <v>1220133929</v>
      </c>
      <c r="E7" s="8">
        <v>4810000000000</v>
      </c>
      <c r="F7" s="8">
        <f t="shared" si="0"/>
        <v>3942.1901855824876</v>
      </c>
      <c r="G7" s="8">
        <v>3351.1970000000001</v>
      </c>
      <c r="H7" s="20">
        <v>2.7469999999999999</v>
      </c>
      <c r="I7" s="8">
        <v>7.8419999999999996</v>
      </c>
      <c r="J7" s="8">
        <v>0.69699999999999995</v>
      </c>
      <c r="K7" s="8">
        <v>10352.657999999999</v>
      </c>
      <c r="L7" s="8">
        <v>14.25</v>
      </c>
      <c r="M7" s="8">
        <v>3036.5940000000001</v>
      </c>
      <c r="N7" s="8">
        <v>5151.2960000000003</v>
      </c>
      <c r="O7" s="8">
        <v>3987.509</v>
      </c>
    </row>
    <row r="8" spans="1:17" s="7" customFormat="1" x14ac:dyDescent="0.3">
      <c r="A8" s="7" t="s">
        <v>5</v>
      </c>
      <c r="B8" s="7">
        <v>1996</v>
      </c>
      <c r="C8" s="7" t="s">
        <v>6</v>
      </c>
      <c r="D8" s="7">
        <v>1230944809</v>
      </c>
      <c r="E8" s="8">
        <v>5130000000000</v>
      </c>
      <c r="F8" s="8">
        <f t="shared" si="0"/>
        <v>4167.5304713032019</v>
      </c>
      <c r="G8" s="8">
        <v>3499.3110000000001</v>
      </c>
      <c r="H8" s="20">
        <v>2.843</v>
      </c>
      <c r="I8" s="8">
        <v>7.9630000000000001</v>
      </c>
      <c r="J8" s="8">
        <v>0.68200000000000005</v>
      </c>
      <c r="K8" s="8">
        <v>10907.45</v>
      </c>
      <c r="L8" s="8">
        <v>14.44</v>
      </c>
      <c r="M8" s="8">
        <v>3159.3580000000002</v>
      </c>
      <c r="N8" s="8">
        <v>5359.0309999999999</v>
      </c>
      <c r="O8" s="8">
        <v>4132.8140000000003</v>
      </c>
    </row>
    <row r="9" spans="1:17" s="7" customFormat="1" x14ac:dyDescent="0.3">
      <c r="A9" s="7" t="s">
        <v>5</v>
      </c>
      <c r="B9" s="7">
        <v>1997</v>
      </c>
      <c r="C9" s="7" t="s">
        <v>6</v>
      </c>
      <c r="D9" s="7">
        <v>1241139623</v>
      </c>
      <c r="E9" s="8">
        <v>5290000000000</v>
      </c>
      <c r="F9" s="8">
        <f t="shared" si="0"/>
        <v>4262.2118430264636</v>
      </c>
      <c r="G9" s="8">
        <v>3512.35</v>
      </c>
      <c r="H9" s="20">
        <v>2.83</v>
      </c>
      <c r="I9" s="8">
        <v>8.0660000000000007</v>
      </c>
      <c r="J9" s="8">
        <v>0.66400000000000003</v>
      </c>
      <c r="K9" s="8">
        <v>10981.134</v>
      </c>
      <c r="L9" s="8">
        <v>14.406000000000001</v>
      </c>
      <c r="M9" s="8">
        <v>3099.5810000000001</v>
      </c>
      <c r="N9" s="8">
        <v>5318.0640000000003</v>
      </c>
      <c r="O9" s="8">
        <v>4148.0349999999999</v>
      </c>
    </row>
    <row r="10" spans="1:17" s="7" customFormat="1" x14ac:dyDescent="0.3">
      <c r="A10" s="7" t="s">
        <v>5</v>
      </c>
      <c r="B10" s="7">
        <v>1998</v>
      </c>
      <c r="C10" s="7" t="s">
        <v>6</v>
      </c>
      <c r="D10" s="7">
        <v>1250847122</v>
      </c>
      <c r="E10" s="8">
        <v>5340000000000</v>
      </c>
      <c r="F10" s="8">
        <f t="shared" si="0"/>
        <v>4269.1068365427318</v>
      </c>
      <c r="G10" s="8">
        <v>3355.3359999999998</v>
      </c>
      <c r="H10" s="20">
        <v>2.6819999999999999</v>
      </c>
      <c r="I10" s="8">
        <v>8.1639999999999997</v>
      </c>
      <c r="J10" s="8">
        <v>0.628</v>
      </c>
      <c r="K10" s="8">
        <v>11000.566000000001</v>
      </c>
      <c r="L10" s="8">
        <v>13.81</v>
      </c>
      <c r="M10" s="8">
        <v>2997.3510000000001</v>
      </c>
      <c r="N10" s="8">
        <v>5195.2790000000005</v>
      </c>
      <c r="O10" s="8">
        <v>3981.5509999999999</v>
      </c>
    </row>
    <row r="11" spans="1:17" s="7" customFormat="1" x14ac:dyDescent="0.3">
      <c r="A11" s="7" t="s">
        <v>5</v>
      </c>
      <c r="B11" s="7">
        <v>1999</v>
      </c>
      <c r="C11" s="7" t="s">
        <v>6</v>
      </c>
      <c r="D11" s="7">
        <v>1260176650</v>
      </c>
      <c r="E11" s="8">
        <v>5580000000000</v>
      </c>
      <c r="F11" s="8">
        <f t="shared" si="0"/>
        <v>4427.9506369206256</v>
      </c>
      <c r="G11" s="8">
        <v>3549.9490000000001</v>
      </c>
      <c r="H11" s="20">
        <v>2.8170000000000002</v>
      </c>
      <c r="I11" s="8">
        <v>8.266</v>
      </c>
      <c r="J11" s="8">
        <v>0.63600000000000001</v>
      </c>
      <c r="K11" s="8">
        <v>11386.067999999999</v>
      </c>
      <c r="L11" s="8">
        <v>14.292999999999999</v>
      </c>
      <c r="M11" s="8">
        <v>3191.3159999999998</v>
      </c>
      <c r="N11" s="8">
        <v>5342.0720000000001</v>
      </c>
      <c r="O11" s="8">
        <v>4172.7539999999999</v>
      </c>
    </row>
    <row r="12" spans="1:17" s="7" customFormat="1" x14ac:dyDescent="0.3">
      <c r="A12" s="7" t="s">
        <v>5</v>
      </c>
      <c r="B12" s="7">
        <v>2000</v>
      </c>
      <c r="C12" s="7" t="s">
        <v>6</v>
      </c>
      <c r="D12" s="7">
        <v>1269581174</v>
      </c>
      <c r="E12" s="8">
        <v>5950000000000</v>
      </c>
      <c r="F12" s="8">
        <f t="shared" si="0"/>
        <v>4686.5849319848212</v>
      </c>
      <c r="G12" s="8">
        <v>3643.81</v>
      </c>
      <c r="H12" s="20">
        <v>2.87</v>
      </c>
      <c r="I12" s="8">
        <v>8.36</v>
      </c>
      <c r="J12" s="8">
        <v>0.61199999999999999</v>
      </c>
      <c r="K12" s="8">
        <v>11800.284</v>
      </c>
      <c r="L12" s="8">
        <v>14.282999999999999</v>
      </c>
      <c r="M12" s="8">
        <v>3236.0039999999999</v>
      </c>
      <c r="N12" s="8">
        <v>5282.098</v>
      </c>
      <c r="O12" s="8">
        <v>4281.5630000000001</v>
      </c>
    </row>
    <row r="13" spans="1:17" s="7" customFormat="1" x14ac:dyDescent="0.3">
      <c r="A13" s="7" t="s">
        <v>5</v>
      </c>
      <c r="B13" s="7">
        <v>2001</v>
      </c>
      <c r="C13" s="7" t="s">
        <v>6</v>
      </c>
      <c r="D13" s="7">
        <v>1278725061</v>
      </c>
      <c r="E13" s="8">
        <v>6330000000000</v>
      </c>
      <c r="F13" s="8">
        <f t="shared" si="0"/>
        <v>4950.2431703729626</v>
      </c>
      <c r="G13" s="8">
        <v>3724.114</v>
      </c>
      <c r="H13" s="20">
        <v>2.9119999999999999</v>
      </c>
      <c r="I13" s="8">
        <v>8.4529999999999994</v>
      </c>
      <c r="J13" s="8">
        <v>0.58799999999999997</v>
      </c>
      <c r="K13" s="8">
        <v>12470.063</v>
      </c>
      <c r="L13" s="8">
        <v>14.494999999999999</v>
      </c>
      <c r="M13" s="8">
        <v>3331.183</v>
      </c>
      <c r="N13" s="8">
        <v>5282.2420000000002</v>
      </c>
      <c r="O13" s="8">
        <v>4380.0029999999997</v>
      </c>
    </row>
    <row r="14" spans="1:17" s="7" customFormat="1" x14ac:dyDescent="0.3">
      <c r="A14" s="7" t="s">
        <v>5</v>
      </c>
      <c r="B14" s="7">
        <v>2002</v>
      </c>
      <c r="C14" s="7" t="s">
        <v>6</v>
      </c>
      <c r="D14" s="7">
        <v>1286866835</v>
      </c>
      <c r="E14" s="8">
        <v>6810000000000</v>
      </c>
      <c r="F14" s="8">
        <f t="shared" si="0"/>
        <v>5291.9228429723271</v>
      </c>
      <c r="G14" s="8">
        <v>4098.1809999999996</v>
      </c>
      <c r="H14" s="20">
        <v>3.1850000000000001</v>
      </c>
      <c r="I14" s="8">
        <v>8.5510000000000002</v>
      </c>
      <c r="J14" s="8">
        <v>0.60099999999999998</v>
      </c>
      <c r="K14" s="8">
        <v>13580.491</v>
      </c>
      <c r="L14" s="8">
        <v>15.603</v>
      </c>
      <c r="M14" s="8">
        <v>3619.7060000000001</v>
      </c>
      <c r="N14" s="8">
        <v>5600.1909999999998</v>
      </c>
      <c r="O14" s="8">
        <v>4772.3010000000004</v>
      </c>
    </row>
    <row r="15" spans="1:17" s="7" customFormat="1" x14ac:dyDescent="0.3">
      <c r="A15" s="7" t="s">
        <v>5</v>
      </c>
      <c r="B15" s="7">
        <v>2003</v>
      </c>
      <c r="C15" s="7" t="s">
        <v>6</v>
      </c>
      <c r="D15" s="7">
        <v>1294517323</v>
      </c>
      <c r="E15" s="8">
        <v>7250000000000</v>
      </c>
      <c r="F15" s="8">
        <f t="shared" si="0"/>
        <v>5600.5430527560429</v>
      </c>
      <c r="G15" s="8">
        <v>4835.2510000000002</v>
      </c>
      <c r="H15" s="20">
        <v>3.7349999999999999</v>
      </c>
      <c r="I15" s="8">
        <v>8.6679999999999993</v>
      </c>
      <c r="J15" s="8">
        <v>0.66700000000000004</v>
      </c>
      <c r="K15" s="8">
        <v>15818.755999999999</v>
      </c>
      <c r="L15" s="8">
        <v>17.486000000000001</v>
      </c>
      <c r="M15" s="8">
        <v>4019.6880000000001</v>
      </c>
      <c r="N15" s="8">
        <v>6373.1989999999996</v>
      </c>
      <c r="O15" s="8">
        <v>5576.5349999999999</v>
      </c>
    </row>
    <row r="16" spans="1:17" s="7" customFormat="1" x14ac:dyDescent="0.3">
      <c r="A16" s="7" t="s">
        <v>5</v>
      </c>
      <c r="B16" s="7">
        <v>2004</v>
      </c>
      <c r="C16" s="7" t="s">
        <v>6</v>
      </c>
      <c r="D16" s="7">
        <v>1302100316</v>
      </c>
      <c r="E16" s="8">
        <v>7830000000000</v>
      </c>
      <c r="F16" s="8">
        <f t="shared" si="0"/>
        <v>6013.3615696012166</v>
      </c>
      <c r="G16" s="8">
        <v>5210.9610000000002</v>
      </c>
      <c r="H16" s="20">
        <v>4.0019999999999998</v>
      </c>
      <c r="I16" s="8">
        <v>8.8010000000000002</v>
      </c>
      <c r="J16" s="8">
        <v>0.66500000000000004</v>
      </c>
      <c r="K16" s="8">
        <v>18509.136999999999</v>
      </c>
      <c r="L16" s="8">
        <v>18.213999999999999</v>
      </c>
      <c r="M16" s="8">
        <v>4254.6440000000002</v>
      </c>
      <c r="N16" s="8">
        <v>6840.5910000000003</v>
      </c>
      <c r="O16" s="8">
        <v>6015.2619999999997</v>
      </c>
    </row>
    <row r="17" spans="1:15" s="7" customFormat="1" x14ac:dyDescent="0.3">
      <c r="A17" s="7" t="s">
        <v>5</v>
      </c>
      <c r="B17" s="7">
        <v>2005</v>
      </c>
      <c r="C17" s="7" t="s">
        <v>6</v>
      </c>
      <c r="D17" s="7">
        <v>1310027135</v>
      </c>
      <c r="E17" s="8">
        <v>8602939667333</v>
      </c>
      <c r="F17" s="8">
        <f>E17/D17</f>
        <v>6566.993490049349</v>
      </c>
      <c r="G17" s="8">
        <v>5881.991</v>
      </c>
      <c r="H17" s="20">
        <v>4.49</v>
      </c>
      <c r="I17" s="8">
        <v>8.9589999999999996</v>
      </c>
      <c r="J17" s="8">
        <v>0.68400000000000005</v>
      </c>
      <c r="K17" s="8">
        <v>21027.164000000001</v>
      </c>
      <c r="L17" s="8">
        <v>19.872</v>
      </c>
      <c r="M17" s="8">
        <v>4646.6099999999997</v>
      </c>
      <c r="N17" s="8">
        <v>7551.5429999999997</v>
      </c>
      <c r="O17" s="8">
        <v>6746.2889999999998</v>
      </c>
    </row>
    <row r="18" spans="1:15" s="7" customFormat="1" x14ac:dyDescent="0.3">
      <c r="A18" s="7" t="s">
        <v>5</v>
      </c>
      <c r="B18" s="7">
        <v>2006</v>
      </c>
      <c r="C18" s="7" t="s">
        <v>6</v>
      </c>
      <c r="D18" s="7">
        <v>1318054030</v>
      </c>
      <c r="E18" s="8">
        <v>9489543138489</v>
      </c>
      <c r="F18" s="8">
        <f t="shared" ref="F18:F126" si="1">E18/D18</f>
        <v>7199.6617153008519</v>
      </c>
      <c r="G18" s="8">
        <v>6486.1850000000004</v>
      </c>
      <c r="H18" s="20">
        <v>4.9210000000000003</v>
      </c>
      <c r="I18" s="8">
        <v>9.1329999999999991</v>
      </c>
      <c r="J18" s="8">
        <v>0.68400000000000005</v>
      </c>
      <c r="K18" s="8">
        <v>23048.333999999999</v>
      </c>
      <c r="L18" s="8">
        <v>21.201000000000001</v>
      </c>
      <c r="M18" s="8">
        <v>5064.2449999999999</v>
      </c>
      <c r="N18" s="8">
        <v>8215.5789999999997</v>
      </c>
      <c r="O18" s="8">
        <v>7403.366</v>
      </c>
    </row>
    <row r="19" spans="1:15" s="7" customFormat="1" x14ac:dyDescent="0.3">
      <c r="A19" s="7" t="s">
        <v>5</v>
      </c>
      <c r="B19" s="7">
        <v>2007</v>
      </c>
      <c r="C19" s="7" t="s">
        <v>6</v>
      </c>
      <c r="D19" s="7">
        <v>1325813576</v>
      </c>
      <c r="E19" s="8">
        <v>10358206113742</v>
      </c>
      <c r="F19" s="8">
        <f t="shared" si="1"/>
        <v>7812.7168866326347</v>
      </c>
      <c r="G19" s="8">
        <v>6974.6629999999996</v>
      </c>
      <c r="H19" s="20">
        <v>5.2610000000000001</v>
      </c>
      <c r="I19" s="8">
        <v>9.3170000000000002</v>
      </c>
      <c r="J19" s="8">
        <v>0.67300000000000004</v>
      </c>
      <c r="K19" s="8">
        <v>25049.576000000001</v>
      </c>
      <c r="L19" s="8">
        <v>22.141999999999999</v>
      </c>
      <c r="M19" s="8">
        <v>5468.66</v>
      </c>
      <c r="N19" s="8">
        <v>8701.73</v>
      </c>
      <c r="O19" s="8">
        <v>7925.848</v>
      </c>
    </row>
    <row r="20" spans="1:15" s="7" customFormat="1" x14ac:dyDescent="0.3">
      <c r="A20" s="7" t="s">
        <v>5</v>
      </c>
      <c r="B20" s="7">
        <v>2008</v>
      </c>
      <c r="C20" s="7" t="s">
        <v>6</v>
      </c>
      <c r="D20" s="7">
        <v>1333821011</v>
      </c>
      <c r="E20" s="8">
        <v>10799148337884</v>
      </c>
      <c r="F20" s="8">
        <f t="shared" si="1"/>
        <v>8096.3999283439089</v>
      </c>
      <c r="G20" s="8">
        <v>7492.4040000000005</v>
      </c>
      <c r="H20" s="20">
        <v>5.617</v>
      </c>
      <c r="I20" s="8">
        <v>9.51</v>
      </c>
      <c r="J20" s="8">
        <v>0.69399999999999995</v>
      </c>
      <c r="K20" s="8">
        <v>26020.463</v>
      </c>
      <c r="L20" s="8">
        <v>23.376999999999999</v>
      </c>
      <c r="M20" s="8">
        <v>5887.9750000000004</v>
      </c>
      <c r="N20" s="8">
        <v>9244.5</v>
      </c>
      <c r="O20" s="8">
        <v>8441.73</v>
      </c>
    </row>
    <row r="21" spans="1:15" s="7" customFormat="1" x14ac:dyDescent="0.3">
      <c r="A21" s="7" t="s">
        <v>5</v>
      </c>
      <c r="B21" s="7">
        <v>2009</v>
      </c>
      <c r="C21" s="7" t="s">
        <v>6</v>
      </c>
      <c r="D21" s="7">
        <v>1342522717</v>
      </c>
      <c r="E21" s="8">
        <v>11572544299171</v>
      </c>
      <c r="F21" s="8">
        <f t="shared" si="1"/>
        <v>8619.9988667834223</v>
      </c>
      <c r="G21" s="8">
        <v>7881.491</v>
      </c>
      <c r="H21" s="20">
        <v>5.8710000000000004</v>
      </c>
      <c r="I21" s="8">
        <v>9.7110000000000003</v>
      </c>
      <c r="J21" s="8">
        <v>0.68100000000000005</v>
      </c>
      <c r="K21" s="8">
        <v>27158.898000000001</v>
      </c>
      <c r="L21" s="8">
        <v>25.01</v>
      </c>
      <c r="M21" s="8">
        <v>6653.1850000000004</v>
      </c>
      <c r="N21" s="8">
        <v>9644.7070000000003</v>
      </c>
      <c r="O21" s="8">
        <v>8823.625</v>
      </c>
    </row>
    <row r="22" spans="1:15" s="7" customFormat="1" x14ac:dyDescent="0.3">
      <c r="A22" s="7" t="s">
        <v>5</v>
      </c>
      <c r="B22" s="7">
        <v>2010</v>
      </c>
      <c r="C22" s="7" t="s">
        <v>6</v>
      </c>
      <c r="D22" s="7">
        <v>1351561505</v>
      </c>
      <c r="E22" s="8">
        <v>12858808500983</v>
      </c>
      <c r="F22" s="8">
        <f t="shared" si="1"/>
        <v>9514.038727362984</v>
      </c>
      <c r="G22" s="8">
        <v>8610.0480000000007</v>
      </c>
      <c r="H22" s="20">
        <v>6.37</v>
      </c>
      <c r="I22" s="8">
        <v>9.9239999999999995</v>
      </c>
      <c r="J22" s="8">
        <v>0.67</v>
      </c>
      <c r="K22" s="8">
        <v>29055.609</v>
      </c>
      <c r="L22" s="8">
        <v>25.841999999999999</v>
      </c>
      <c r="M22" s="8">
        <v>7260.6930000000002</v>
      </c>
      <c r="N22" s="8">
        <v>10308.954</v>
      </c>
      <c r="O22" s="8">
        <v>9600.7639999999992</v>
      </c>
    </row>
    <row r="23" spans="1:15" s="7" customFormat="1" x14ac:dyDescent="0.3">
      <c r="A23" s="7" t="s">
        <v>5</v>
      </c>
      <c r="B23" s="7">
        <v>2011</v>
      </c>
      <c r="C23" s="7" t="s">
        <v>6</v>
      </c>
      <c r="D23" s="7">
        <v>1360250658</v>
      </c>
      <c r="E23" s="8">
        <v>13691526496125</v>
      </c>
      <c r="F23" s="8">
        <f t="shared" si="1"/>
        <v>10065.443758914174</v>
      </c>
      <c r="G23" s="8">
        <v>9520.1530000000002</v>
      </c>
      <c r="H23" s="20">
        <v>6.9989999999999997</v>
      </c>
      <c r="I23" s="8">
        <v>10.164999999999999</v>
      </c>
      <c r="J23" s="8">
        <v>0.69499999999999995</v>
      </c>
      <c r="K23" s="8">
        <v>31336.537</v>
      </c>
      <c r="L23" s="8">
        <v>27.611000000000001</v>
      </c>
      <c r="M23" s="8">
        <v>8056.9110000000001</v>
      </c>
      <c r="N23" s="8">
        <v>11352.635</v>
      </c>
      <c r="O23" s="8">
        <v>10605.287</v>
      </c>
    </row>
    <row r="24" spans="1:15" s="7" customFormat="1" x14ac:dyDescent="0.3">
      <c r="A24" s="7" t="s">
        <v>5</v>
      </c>
      <c r="B24" s="7">
        <v>2012</v>
      </c>
      <c r="C24" s="7" t="s">
        <v>6</v>
      </c>
      <c r="D24" s="7">
        <v>1369520866</v>
      </c>
      <c r="E24" s="8">
        <v>14773157494771</v>
      </c>
      <c r="F24" s="8">
        <f t="shared" si="1"/>
        <v>10787.09924144449</v>
      </c>
      <c r="G24" s="8">
        <v>9767.3109999999997</v>
      </c>
      <c r="H24" s="20">
        <v>7.1319999999999997</v>
      </c>
      <c r="I24" s="8">
        <v>10.398999999999999</v>
      </c>
      <c r="J24" s="8">
        <v>0.66100000000000003</v>
      </c>
      <c r="K24" s="8">
        <v>32624.18</v>
      </c>
      <c r="L24" s="8">
        <v>27.943000000000001</v>
      </c>
      <c r="M24" s="8">
        <v>8342.6679999999997</v>
      </c>
      <c r="N24" s="8">
        <v>11526.329</v>
      </c>
      <c r="O24" s="8">
        <v>10853.954</v>
      </c>
    </row>
    <row r="25" spans="1:15" s="7" customFormat="1" x14ac:dyDescent="0.3">
      <c r="A25" s="7" t="s">
        <v>5</v>
      </c>
      <c r="B25" s="7">
        <v>2013</v>
      </c>
      <c r="C25" s="7" t="s">
        <v>6</v>
      </c>
      <c r="D25" s="7">
        <v>1379008040</v>
      </c>
      <c r="E25" s="8">
        <v>15925464549520</v>
      </c>
      <c r="F25" s="8">
        <f t="shared" si="1"/>
        <v>11548.492893137882</v>
      </c>
      <c r="G25" s="8">
        <v>9942.3709999999992</v>
      </c>
      <c r="H25" s="20">
        <v>7.21</v>
      </c>
      <c r="I25" s="8">
        <v>10.632999999999999</v>
      </c>
      <c r="J25" s="8">
        <v>0.624</v>
      </c>
      <c r="K25" s="8">
        <v>33852.565999999999</v>
      </c>
      <c r="L25" s="8">
        <v>28.184999999999999</v>
      </c>
      <c r="M25" s="8">
        <v>8627.3760000000002</v>
      </c>
      <c r="N25" s="8">
        <v>11692.455</v>
      </c>
      <c r="O25" s="8">
        <v>11041.993</v>
      </c>
    </row>
    <row r="26" spans="1:15" s="7" customFormat="1" x14ac:dyDescent="0.3">
      <c r="A26" s="7" t="s">
        <v>5</v>
      </c>
      <c r="B26" s="7">
        <v>2014</v>
      </c>
      <c r="C26" s="7" t="s">
        <v>6</v>
      </c>
      <c r="D26" s="7">
        <v>1387951970</v>
      </c>
      <c r="E26" s="8">
        <v>17103948867278</v>
      </c>
      <c r="F26" s="8">
        <f t="shared" si="1"/>
        <v>12323.156158838839</v>
      </c>
      <c r="G26" s="8">
        <v>9976.027</v>
      </c>
      <c r="H26" s="20">
        <v>7.1879999999999997</v>
      </c>
      <c r="I26" s="8">
        <v>10.856</v>
      </c>
      <c r="J26" s="8">
        <v>0.58299999999999996</v>
      </c>
      <c r="K26" s="8">
        <v>34729.065999999999</v>
      </c>
      <c r="L26" s="8">
        <v>28.129000000000001</v>
      </c>
      <c r="M26" s="8">
        <v>8720.1299999999992</v>
      </c>
      <c r="N26" s="8">
        <v>11689.33</v>
      </c>
      <c r="O26" s="8">
        <v>11086.678</v>
      </c>
    </row>
    <row r="27" spans="1:15" s="7" customFormat="1" x14ac:dyDescent="0.3">
      <c r="A27" s="7" t="s">
        <v>5</v>
      </c>
      <c r="B27" s="7">
        <v>2015</v>
      </c>
      <c r="C27" s="7" t="s">
        <v>6</v>
      </c>
      <c r="D27" s="7">
        <v>1396134171</v>
      </c>
      <c r="E27" s="8">
        <v>18301224436466</v>
      </c>
      <c r="F27" s="8">
        <f t="shared" si="1"/>
        <v>13108.49975354267</v>
      </c>
      <c r="G27" s="8">
        <v>9858.0400000000009</v>
      </c>
      <c r="H27" s="20">
        <v>7.0609999999999999</v>
      </c>
      <c r="I27" s="8">
        <v>11.065</v>
      </c>
      <c r="J27" s="8">
        <v>0.53900000000000003</v>
      </c>
      <c r="K27" s="8">
        <v>35135.987999999998</v>
      </c>
      <c r="L27" s="8">
        <v>27.844999999999999</v>
      </c>
      <c r="M27" s="8">
        <v>8789.7459999999992</v>
      </c>
      <c r="N27" s="8">
        <v>11642.968000000001</v>
      </c>
      <c r="O27" s="8">
        <v>10966.92</v>
      </c>
    </row>
    <row r="28" spans="1:15" s="7" customFormat="1" x14ac:dyDescent="0.3">
      <c r="A28" s="7" t="s">
        <v>5</v>
      </c>
      <c r="B28" s="7">
        <v>2016</v>
      </c>
      <c r="C28" s="7" t="s">
        <v>6</v>
      </c>
      <c r="D28" s="7">
        <v>1404052628</v>
      </c>
      <c r="E28" s="8">
        <v>19545709173693</v>
      </c>
      <c r="F28" s="8">
        <f t="shared" si="1"/>
        <v>13920.923463912352</v>
      </c>
      <c r="G28" s="8">
        <v>9748.1749999999993</v>
      </c>
      <c r="H28" s="20">
        <v>6.9429999999999996</v>
      </c>
      <c r="I28" s="8">
        <v>11.257</v>
      </c>
      <c r="J28" s="8">
        <v>0.499</v>
      </c>
      <c r="K28" s="8">
        <v>35277.711000000003</v>
      </c>
      <c r="L28" s="8">
        <v>27.542999999999999</v>
      </c>
      <c r="M28" s="8">
        <v>8672.1090000000004</v>
      </c>
      <c r="N28" s="8">
        <v>11382.781000000001</v>
      </c>
      <c r="O28" s="8">
        <v>10814.965</v>
      </c>
    </row>
    <row r="29" spans="1:15" s="7" customFormat="1" x14ac:dyDescent="0.3">
      <c r="A29" s="7" t="s">
        <v>5</v>
      </c>
      <c r="B29" s="7">
        <v>2017</v>
      </c>
      <c r="C29" s="7" t="s">
        <v>6</v>
      </c>
      <c r="D29" s="7">
        <v>1412354730</v>
      </c>
      <c r="E29" s="8">
        <v>20894362082435</v>
      </c>
      <c r="F29" s="8">
        <f t="shared" si="1"/>
        <v>14793.990233908871</v>
      </c>
      <c r="G29" s="8">
        <v>10000.013999999999</v>
      </c>
      <c r="H29" s="20">
        <v>7.08</v>
      </c>
      <c r="I29" s="8">
        <v>11.454000000000001</v>
      </c>
      <c r="J29" s="8">
        <v>0.47899999999999998</v>
      </c>
      <c r="K29" s="8">
        <v>36649.383000000002</v>
      </c>
      <c r="L29" s="8">
        <v>27.797000000000001</v>
      </c>
      <c r="M29" s="8">
        <v>8957.402</v>
      </c>
      <c r="N29" s="8">
        <v>11622.924999999999</v>
      </c>
      <c r="O29" s="8">
        <v>11097.793</v>
      </c>
    </row>
    <row r="30" spans="1:15" s="7" customFormat="1" x14ac:dyDescent="0.3">
      <c r="A30" s="7" t="s">
        <v>5</v>
      </c>
      <c r="B30" s="7">
        <v>2018</v>
      </c>
      <c r="C30" s="7" t="s">
        <v>6</v>
      </c>
      <c r="D30" s="7">
        <v>1419008954</v>
      </c>
      <c r="E30" s="8">
        <v>22294284747546</v>
      </c>
      <c r="F30" s="8">
        <f t="shared" si="1"/>
        <v>15711.165658751721</v>
      </c>
      <c r="G30" s="8">
        <v>10346.790000000001</v>
      </c>
      <c r="H30" s="20">
        <v>7.2919999999999998</v>
      </c>
      <c r="I30" s="8">
        <v>11.654</v>
      </c>
      <c r="J30" s="8">
        <v>0.46400000000000002</v>
      </c>
      <c r="K30" s="8">
        <v>38409.82</v>
      </c>
      <c r="L30" s="8">
        <v>28.167000000000002</v>
      </c>
      <c r="M30" s="8">
        <v>9443.4330000000009</v>
      </c>
      <c r="N30" s="8">
        <v>11989.896000000001</v>
      </c>
      <c r="O30" s="8">
        <v>11487.489</v>
      </c>
    </row>
    <row r="31" spans="1:15" s="7" customFormat="1" x14ac:dyDescent="0.3">
      <c r="A31" s="7" t="s">
        <v>5</v>
      </c>
      <c r="B31" s="7">
        <v>2019</v>
      </c>
      <c r="C31" s="7" t="s">
        <v>6</v>
      </c>
      <c r="D31" s="7">
        <v>1423520357</v>
      </c>
      <c r="E31" s="8">
        <v>23631941251482</v>
      </c>
      <c r="F31" s="8">
        <f t="shared" si="1"/>
        <v>16601.056061667547</v>
      </c>
      <c r="G31" s="8">
        <v>10713.514999999999</v>
      </c>
      <c r="H31" s="20">
        <v>7.5259999999999998</v>
      </c>
      <c r="I31" s="8">
        <v>11.856999999999999</v>
      </c>
      <c r="J31" s="8">
        <v>0.45300000000000001</v>
      </c>
      <c r="K31" s="8">
        <v>40188.722999999998</v>
      </c>
      <c r="L31" s="8">
        <v>28.888000000000002</v>
      </c>
      <c r="M31" s="8">
        <v>9767.0830000000005</v>
      </c>
      <c r="N31" s="8">
        <v>12322.384</v>
      </c>
      <c r="O31" s="8">
        <v>11888.703</v>
      </c>
    </row>
    <row r="32" spans="1:15" s="7" customFormat="1" x14ac:dyDescent="0.3">
      <c r="A32" s="7" t="s">
        <v>5</v>
      </c>
      <c r="B32" s="7">
        <v>2020</v>
      </c>
      <c r="C32" s="7" t="s">
        <v>6</v>
      </c>
      <c r="D32" s="7">
        <v>1426106093</v>
      </c>
      <c r="E32" s="8">
        <v>24151843898871</v>
      </c>
      <c r="F32" s="8">
        <f t="shared" si="1"/>
        <v>16935.516941845784</v>
      </c>
      <c r="G32" s="8">
        <v>10896.521000000001</v>
      </c>
      <c r="H32" s="20">
        <v>7.641</v>
      </c>
      <c r="I32" s="8">
        <v>12.071</v>
      </c>
      <c r="J32" s="8">
        <v>0.45100000000000001</v>
      </c>
      <c r="K32" s="8">
        <v>41493.891000000003</v>
      </c>
      <c r="L32" s="8">
        <v>30.992999999999999</v>
      </c>
      <c r="M32" s="8">
        <v>9798.9169999999995</v>
      </c>
      <c r="N32" s="8">
        <v>12524.050999999999</v>
      </c>
      <c r="O32" s="8">
        <v>12091.771000000001</v>
      </c>
    </row>
    <row r="33" spans="1:16" s="7" customFormat="1" x14ac:dyDescent="0.3">
      <c r="A33" s="7" t="s">
        <v>5</v>
      </c>
      <c r="B33" s="7">
        <v>2021</v>
      </c>
      <c r="C33" s="7" t="s">
        <v>6</v>
      </c>
      <c r="D33" s="7">
        <v>1426437269</v>
      </c>
      <c r="E33" s="8">
        <v>26180600167672</v>
      </c>
      <c r="F33" s="8">
        <f t="shared" si="1"/>
        <v>18353.839132390196</v>
      </c>
      <c r="G33" s="8">
        <v>11284.401</v>
      </c>
      <c r="H33" s="20">
        <v>7.9109999999999996</v>
      </c>
      <c r="I33" s="8">
        <v>12.285</v>
      </c>
      <c r="J33" s="8">
        <v>0.43099999999999999</v>
      </c>
      <c r="K33" s="8">
        <v>43847.18</v>
      </c>
      <c r="L33" s="8">
        <v>30.609000000000002</v>
      </c>
      <c r="M33" s="8">
        <v>10087.989</v>
      </c>
      <c r="N33" s="8">
        <v>12958.471</v>
      </c>
      <c r="O33" s="8">
        <v>12538.148999999999</v>
      </c>
    </row>
    <row r="34" spans="1:16" s="7" customFormat="1" x14ac:dyDescent="0.3">
      <c r="A34" s="7" t="s">
        <v>5</v>
      </c>
      <c r="B34" s="7">
        <v>2022</v>
      </c>
      <c r="C34" s="7" t="s">
        <v>6</v>
      </c>
      <c r="D34" s="7">
        <v>1425179562</v>
      </c>
      <c r="E34" s="8">
        <v>26966016991166</v>
      </c>
      <c r="F34" s="8">
        <f t="shared" si="1"/>
        <v>18921.136473023602</v>
      </c>
      <c r="G34" s="8">
        <v>11711.808000000001</v>
      </c>
      <c r="H34" s="20">
        <v>8.218</v>
      </c>
      <c r="I34" s="8">
        <v>12.507</v>
      </c>
      <c r="J34" s="8">
        <v>0.434</v>
      </c>
      <c r="K34" s="8">
        <v>44516.491999999998</v>
      </c>
      <c r="L34" s="8">
        <v>31.207999999999998</v>
      </c>
      <c r="M34" s="8">
        <v>10427.032999999999</v>
      </c>
      <c r="N34" s="8">
        <v>13446.92</v>
      </c>
      <c r="O34" s="8">
        <v>13031.949000000001</v>
      </c>
    </row>
    <row r="35" spans="1:16" s="7" customFormat="1" x14ac:dyDescent="0.3">
      <c r="A35" s="7" t="s">
        <v>5</v>
      </c>
      <c r="B35" s="7">
        <v>2023</v>
      </c>
      <c r="C35" s="7" t="s">
        <v>6</v>
      </c>
      <c r="D35" s="7">
        <v>1422584930</v>
      </c>
      <c r="E35" s="8" t="s">
        <v>66</v>
      </c>
      <c r="F35" s="8" t="s">
        <v>66</v>
      </c>
      <c r="G35" s="8">
        <v>12172.009</v>
      </c>
      <c r="H35" s="20">
        <v>8.5559999999999992</v>
      </c>
      <c r="I35" s="8">
        <v>12.731</v>
      </c>
      <c r="J35" s="8" t="s">
        <v>66</v>
      </c>
      <c r="K35" s="8">
        <v>47072.012000000002</v>
      </c>
      <c r="L35" s="8">
        <v>31.952999999999999</v>
      </c>
      <c r="M35" s="8">
        <v>10857.025</v>
      </c>
      <c r="N35" s="8">
        <v>13934.404</v>
      </c>
      <c r="O35" s="8">
        <v>13532.396000000001</v>
      </c>
    </row>
    <row r="36" spans="1:16" s="7" customFormat="1" x14ac:dyDescent="0.3">
      <c r="A36" s="7" t="s">
        <v>5</v>
      </c>
      <c r="B36" s="7">
        <v>2024</v>
      </c>
      <c r="C36" s="7" t="s">
        <v>6</v>
      </c>
      <c r="D36" s="7">
        <v>1419321284</v>
      </c>
      <c r="E36" s="8" t="s">
        <v>66</v>
      </c>
      <c r="F36" s="8" t="s">
        <v>66</v>
      </c>
      <c r="G36" s="8">
        <v>12289.037</v>
      </c>
      <c r="H36" s="20">
        <v>8.6579999999999995</v>
      </c>
      <c r="I36" s="8">
        <v>12.951000000000001</v>
      </c>
      <c r="J36" s="8" t="s">
        <v>66</v>
      </c>
      <c r="K36" s="8">
        <v>48987.101999999999</v>
      </c>
      <c r="L36" s="8">
        <v>31.838000000000001</v>
      </c>
      <c r="M36" s="8"/>
      <c r="N36" s="8">
        <v>14107.007</v>
      </c>
      <c r="O36" s="8">
        <v>13698.566000000001</v>
      </c>
    </row>
    <row r="37" spans="1:16" s="9" customFormat="1" x14ac:dyDescent="0.3">
      <c r="A37" s="9" t="s">
        <v>7</v>
      </c>
      <c r="B37" s="9">
        <v>1990</v>
      </c>
      <c r="C37" s="9" t="s">
        <v>8</v>
      </c>
      <c r="D37" s="9">
        <v>56990239</v>
      </c>
      <c r="E37" s="10">
        <v>1640000000000</v>
      </c>
      <c r="F37" s="10">
        <f>E37/D37</f>
        <v>28776.857735234273</v>
      </c>
      <c r="G37" s="10">
        <v>394.904</v>
      </c>
      <c r="H37" s="20">
        <v>6.9290000000000003</v>
      </c>
      <c r="I37" s="10">
        <v>1.704</v>
      </c>
      <c r="J37" s="10">
        <v>0.24099999999999999</v>
      </c>
      <c r="K37" s="10">
        <v>2649.8229999999999</v>
      </c>
      <c r="L37" s="10">
        <v>1.7370000000000001</v>
      </c>
      <c r="M37" s="10">
        <v>485.37</v>
      </c>
      <c r="N37" s="10">
        <v>584.75099999999998</v>
      </c>
      <c r="O37" s="10">
        <v>451.25400000000002</v>
      </c>
      <c r="P37" s="10">
        <f>AVERAGE(H37:H71)</f>
        <v>5.9767142857142863</v>
      </c>
    </row>
    <row r="38" spans="1:16" s="9" customFormat="1" x14ac:dyDescent="0.3">
      <c r="A38" s="9" t="s">
        <v>7</v>
      </c>
      <c r="B38" s="9">
        <v>1991</v>
      </c>
      <c r="C38" s="9" t="s">
        <v>8</v>
      </c>
      <c r="D38" s="9">
        <v>57271564</v>
      </c>
      <c r="E38" s="10">
        <v>1650000000000</v>
      </c>
      <c r="F38" s="10">
        <f t="shared" ref="F38:F51" si="2">E38/D38</f>
        <v>28810.108974848321</v>
      </c>
      <c r="G38" s="10">
        <v>419.11900000000003</v>
      </c>
      <c r="H38" s="20">
        <v>7.3179999999999996</v>
      </c>
      <c r="I38" s="10">
        <v>1.6970000000000001</v>
      </c>
      <c r="J38" s="10">
        <v>0.253</v>
      </c>
      <c r="K38" s="10">
        <v>2834.1759999999999</v>
      </c>
      <c r="L38" s="10">
        <v>1.806</v>
      </c>
      <c r="M38" s="10">
        <v>499.93299999999999</v>
      </c>
      <c r="N38" s="10">
        <v>638.37699999999995</v>
      </c>
      <c r="O38" s="10">
        <v>481.45400000000001</v>
      </c>
    </row>
    <row r="39" spans="1:16" s="9" customFormat="1" x14ac:dyDescent="0.3">
      <c r="A39" s="9" t="s">
        <v>7</v>
      </c>
      <c r="B39" s="9">
        <v>1992</v>
      </c>
      <c r="C39" s="9" t="s">
        <v>8</v>
      </c>
      <c r="D39" s="9">
        <v>57554867</v>
      </c>
      <c r="E39" s="10">
        <v>1680000000000</v>
      </c>
      <c r="F39" s="10">
        <f t="shared" si="2"/>
        <v>29189.538392991162</v>
      </c>
      <c r="G39" s="10">
        <v>408.43299999999999</v>
      </c>
      <c r="H39" s="20">
        <v>7.0960000000000001</v>
      </c>
      <c r="I39" s="10">
        <v>1.6890000000000001</v>
      </c>
      <c r="J39" s="10">
        <v>0.24299999999999999</v>
      </c>
      <c r="K39" s="10">
        <v>2857.9409999999998</v>
      </c>
      <c r="L39" s="10">
        <v>1.8140000000000001</v>
      </c>
      <c r="M39" s="10">
        <v>533.95000000000005</v>
      </c>
      <c r="N39" s="10">
        <v>604.32799999999997</v>
      </c>
      <c r="O39" s="10">
        <v>473.14699999999999</v>
      </c>
    </row>
    <row r="40" spans="1:16" s="9" customFormat="1" x14ac:dyDescent="0.3">
      <c r="A40" s="9" t="s">
        <v>7</v>
      </c>
      <c r="B40" s="9">
        <v>1993</v>
      </c>
      <c r="C40" s="9" t="s">
        <v>8</v>
      </c>
      <c r="D40" s="9">
        <v>57801261</v>
      </c>
      <c r="E40" s="10">
        <v>1670000000000</v>
      </c>
      <c r="F40" s="10">
        <f t="shared" si="2"/>
        <v>28892.103236294446</v>
      </c>
      <c r="G40" s="10">
        <v>388.89</v>
      </c>
      <c r="H40" s="20">
        <v>6.7279999999999998</v>
      </c>
      <c r="I40" s="10">
        <v>1.68</v>
      </c>
      <c r="J40" s="10">
        <v>0.23300000000000001</v>
      </c>
      <c r="K40" s="10">
        <v>2853.8879999999999</v>
      </c>
      <c r="L40" s="10">
        <v>1.7090000000000001</v>
      </c>
      <c r="M40" s="10">
        <v>495.55099999999999</v>
      </c>
      <c r="N40" s="10">
        <v>557.99</v>
      </c>
      <c r="O40" s="10">
        <v>452.178</v>
      </c>
    </row>
    <row r="41" spans="1:16" s="9" customFormat="1" x14ac:dyDescent="0.3">
      <c r="A41" s="9" t="s">
        <v>7</v>
      </c>
      <c r="B41" s="9">
        <v>1994</v>
      </c>
      <c r="C41" s="9" t="s">
        <v>8</v>
      </c>
      <c r="D41" s="9">
        <v>57999868</v>
      </c>
      <c r="E41" s="10">
        <v>1710000000000</v>
      </c>
      <c r="F41" s="10">
        <f t="shared" si="2"/>
        <v>29482.825719534398</v>
      </c>
      <c r="G41" s="10">
        <v>381.90300000000002</v>
      </c>
      <c r="H41" s="20">
        <v>6.585</v>
      </c>
      <c r="I41" s="10">
        <v>1.669</v>
      </c>
      <c r="J41" s="10">
        <v>0.223</v>
      </c>
      <c r="K41" s="10">
        <v>2824.76</v>
      </c>
      <c r="L41" s="10">
        <v>1.6619999999999999</v>
      </c>
      <c r="M41" s="10">
        <v>487.608</v>
      </c>
      <c r="N41" s="10">
        <v>531.35500000000002</v>
      </c>
      <c r="O41" s="10">
        <v>444.00700000000001</v>
      </c>
    </row>
    <row r="42" spans="1:16" s="9" customFormat="1" x14ac:dyDescent="0.3">
      <c r="A42" s="9" t="s">
        <v>7</v>
      </c>
      <c r="B42" s="9">
        <v>1995</v>
      </c>
      <c r="C42" s="9" t="s">
        <v>8</v>
      </c>
      <c r="D42" s="9">
        <v>58192207</v>
      </c>
      <c r="E42" s="10">
        <v>1750000000000</v>
      </c>
      <c r="F42" s="10">
        <f t="shared" si="2"/>
        <v>30072.755274602318</v>
      </c>
      <c r="G42" s="10">
        <v>386.959</v>
      </c>
      <c r="H42" s="20">
        <v>6.65</v>
      </c>
      <c r="I42" s="10">
        <v>1.6579999999999999</v>
      </c>
      <c r="J42" s="10">
        <v>0.221</v>
      </c>
      <c r="K42" s="10">
        <v>2904.1979999999999</v>
      </c>
      <c r="L42" s="10">
        <v>1.645</v>
      </c>
      <c r="M42" s="10">
        <v>499.637</v>
      </c>
      <c r="N42" s="10">
        <v>523.81899999999996</v>
      </c>
      <c r="O42" s="10">
        <v>450.98500000000001</v>
      </c>
    </row>
    <row r="43" spans="1:16" s="9" customFormat="1" x14ac:dyDescent="0.3">
      <c r="A43" s="9" t="s">
        <v>7</v>
      </c>
      <c r="B43" s="9">
        <v>1996</v>
      </c>
      <c r="C43" s="9" t="s">
        <v>8</v>
      </c>
      <c r="D43" s="9">
        <v>58380638</v>
      </c>
      <c r="E43" s="10">
        <v>1770000000000</v>
      </c>
      <c r="F43" s="10">
        <f t="shared" si="2"/>
        <v>30318.270930852108</v>
      </c>
      <c r="G43" s="10">
        <v>403.35199999999998</v>
      </c>
      <c r="H43" s="20">
        <v>6.9089999999999998</v>
      </c>
      <c r="I43" s="10">
        <v>1.647</v>
      </c>
      <c r="J43" s="10">
        <v>0.22700000000000001</v>
      </c>
      <c r="K43" s="10">
        <v>3012.348</v>
      </c>
      <c r="L43" s="10">
        <v>1.6639999999999999</v>
      </c>
      <c r="M43" s="10">
        <v>501.214</v>
      </c>
      <c r="N43" s="10">
        <v>531.851</v>
      </c>
      <c r="O43" s="10">
        <v>468.30799999999999</v>
      </c>
    </row>
    <row r="44" spans="1:16" s="9" customFormat="1" x14ac:dyDescent="0.3">
      <c r="A44" s="9" t="s">
        <v>7</v>
      </c>
      <c r="B44" s="9">
        <v>1997</v>
      </c>
      <c r="C44" s="9" t="s">
        <v>8</v>
      </c>
      <c r="D44" s="9">
        <v>58568662</v>
      </c>
      <c r="E44" s="10">
        <v>1820000000000</v>
      </c>
      <c r="F44" s="10">
        <f t="shared" si="2"/>
        <v>31074.638515730476</v>
      </c>
      <c r="G44" s="10">
        <v>396.02300000000002</v>
      </c>
      <c r="H44" s="20">
        <v>6.7619999999999996</v>
      </c>
      <c r="I44" s="10">
        <v>1.6339999999999999</v>
      </c>
      <c r="J44" s="10">
        <v>0.218</v>
      </c>
      <c r="K44" s="10">
        <v>2965.6790000000001</v>
      </c>
      <c r="L44" s="10">
        <v>1.6240000000000001</v>
      </c>
      <c r="M44" s="10">
        <v>477.76900000000001</v>
      </c>
      <c r="N44" s="10">
        <v>506.37200000000001</v>
      </c>
      <c r="O44" s="10">
        <v>455.05900000000003</v>
      </c>
    </row>
    <row r="45" spans="1:16" s="9" customFormat="1" x14ac:dyDescent="0.3">
      <c r="A45" s="9" t="s">
        <v>7</v>
      </c>
      <c r="B45" s="9">
        <v>1998</v>
      </c>
      <c r="C45" s="9" t="s">
        <v>8</v>
      </c>
      <c r="D45" s="9">
        <v>58778817</v>
      </c>
      <c r="E45" s="10">
        <v>1880000000000</v>
      </c>
      <c r="F45" s="10">
        <f t="shared" si="2"/>
        <v>31984.311627095183</v>
      </c>
      <c r="G45" s="10">
        <v>414.35700000000003</v>
      </c>
      <c r="H45" s="20">
        <v>7.0490000000000004</v>
      </c>
      <c r="I45" s="10">
        <v>1.6240000000000001</v>
      </c>
      <c r="J45" s="10">
        <v>0.22</v>
      </c>
      <c r="K45" s="10">
        <v>3037.2220000000002</v>
      </c>
      <c r="L45" s="10">
        <v>1.7050000000000001</v>
      </c>
      <c r="M45" s="10">
        <v>502.56200000000001</v>
      </c>
      <c r="N45" s="10">
        <v>507.601</v>
      </c>
      <c r="O45" s="10">
        <v>463.25200000000001</v>
      </c>
    </row>
    <row r="46" spans="1:16" s="9" customFormat="1" x14ac:dyDescent="0.3">
      <c r="A46" s="9" t="s">
        <v>7</v>
      </c>
      <c r="B46" s="9">
        <v>1999</v>
      </c>
      <c r="C46" s="9" t="s">
        <v>8</v>
      </c>
      <c r="D46" s="9">
        <v>59084209</v>
      </c>
      <c r="E46" s="10">
        <v>1950000000000</v>
      </c>
      <c r="F46" s="10">
        <f t="shared" si="2"/>
        <v>33003.742167386888</v>
      </c>
      <c r="G46" s="10">
        <v>413.07</v>
      </c>
      <c r="H46" s="20">
        <v>6.9909999999999997</v>
      </c>
      <c r="I46" s="10">
        <v>1.613</v>
      </c>
      <c r="J46" s="10">
        <v>0.21199999999999999</v>
      </c>
      <c r="K46" s="10">
        <v>3078.0160000000001</v>
      </c>
      <c r="L46" s="10">
        <v>1.663</v>
      </c>
      <c r="M46" s="10">
        <v>506.173</v>
      </c>
      <c r="N46" s="10">
        <v>495.17700000000002</v>
      </c>
      <c r="O46" s="10">
        <v>459.30500000000001</v>
      </c>
    </row>
    <row r="47" spans="1:16" s="9" customFormat="1" x14ac:dyDescent="0.3">
      <c r="A47" s="9" t="s">
        <v>7</v>
      </c>
      <c r="B47" s="9">
        <v>2000</v>
      </c>
      <c r="C47" s="9" t="s">
        <v>8</v>
      </c>
      <c r="D47" s="9">
        <v>59483716</v>
      </c>
      <c r="E47" s="10">
        <v>2030000000000</v>
      </c>
      <c r="F47" s="10">
        <f t="shared" si="2"/>
        <v>34126.986955556036</v>
      </c>
      <c r="G47" s="10">
        <v>407.44499999999999</v>
      </c>
      <c r="H47" s="20">
        <v>6.85</v>
      </c>
      <c r="I47" s="10">
        <v>1.6020000000000001</v>
      </c>
      <c r="J47" s="10">
        <v>0.20100000000000001</v>
      </c>
      <c r="K47" s="10">
        <v>3117.9090000000001</v>
      </c>
      <c r="L47" s="10">
        <v>1.597</v>
      </c>
      <c r="M47" s="10">
        <v>513.52700000000004</v>
      </c>
      <c r="N47" s="10">
        <v>483.11099999999999</v>
      </c>
      <c r="O47" s="10">
        <v>453.42399999999998</v>
      </c>
    </row>
    <row r="48" spans="1:16" s="9" customFormat="1" x14ac:dyDescent="0.3">
      <c r="A48" s="9" t="s">
        <v>7</v>
      </c>
      <c r="B48" s="9">
        <v>2001</v>
      </c>
      <c r="C48" s="9" t="s">
        <v>8</v>
      </c>
      <c r="D48" s="9">
        <v>59905131</v>
      </c>
      <c r="E48" s="10">
        <v>2080000000000</v>
      </c>
      <c r="F48" s="10">
        <f t="shared" si="2"/>
        <v>34721.5666718098</v>
      </c>
      <c r="G48" s="10">
        <v>411.59199999999998</v>
      </c>
      <c r="H48" s="20">
        <v>6.8710000000000004</v>
      </c>
      <c r="I48" s="10">
        <v>1.5920000000000001</v>
      </c>
      <c r="J48" s="10">
        <v>0.19800000000000001</v>
      </c>
      <c r="K48" s="10">
        <v>3143.0459999999998</v>
      </c>
      <c r="L48" s="10">
        <v>1.6020000000000001</v>
      </c>
      <c r="M48" s="10">
        <v>510.62200000000001</v>
      </c>
      <c r="N48" s="10">
        <v>478.63600000000002</v>
      </c>
      <c r="O48" s="10">
        <v>456.767</v>
      </c>
    </row>
    <row r="49" spans="1:18" s="9" customFormat="1" x14ac:dyDescent="0.3">
      <c r="A49" s="9" t="s">
        <v>7</v>
      </c>
      <c r="B49" s="9">
        <v>2002</v>
      </c>
      <c r="C49" s="9" t="s">
        <v>8</v>
      </c>
      <c r="D49" s="9">
        <v>60327247</v>
      </c>
      <c r="E49" s="10">
        <v>2110000000000</v>
      </c>
      <c r="F49" s="10">
        <f t="shared" si="2"/>
        <v>34975.904005697455</v>
      </c>
      <c r="G49" s="10">
        <v>407.02699999999999</v>
      </c>
      <c r="H49" s="20">
        <v>6.7469999999999999</v>
      </c>
      <c r="I49" s="10">
        <v>1.581</v>
      </c>
      <c r="J49" s="10">
        <v>0.193</v>
      </c>
      <c r="K49" s="10">
        <v>3118.9189999999999</v>
      </c>
      <c r="L49" s="10">
        <v>1.55</v>
      </c>
      <c r="M49" s="10">
        <v>505.262</v>
      </c>
      <c r="N49" s="10">
        <v>471.03100000000001</v>
      </c>
      <c r="O49" s="10">
        <v>451.72199999999998</v>
      </c>
    </row>
    <row r="50" spans="1:18" s="9" customFormat="1" x14ac:dyDescent="0.3">
      <c r="A50" s="9" t="s">
        <v>7</v>
      </c>
      <c r="B50" s="9">
        <v>2003</v>
      </c>
      <c r="C50" s="9" t="s">
        <v>8</v>
      </c>
      <c r="D50" s="9">
        <v>60741119</v>
      </c>
      <c r="E50" s="10">
        <v>2130000000000</v>
      </c>
      <c r="F50" s="10">
        <f t="shared" si="2"/>
        <v>35066.8547940317</v>
      </c>
      <c r="G50" s="10">
        <v>412.98899999999998</v>
      </c>
      <c r="H50" s="20">
        <v>6.7990000000000004</v>
      </c>
      <c r="I50" s="10">
        <v>1.5680000000000001</v>
      </c>
      <c r="J50" s="10">
        <v>0.19400000000000001</v>
      </c>
      <c r="K50" s="10">
        <v>3153.0419999999999</v>
      </c>
      <c r="L50" s="10">
        <v>1.4930000000000001</v>
      </c>
      <c r="M50" s="10">
        <v>516.22299999999996</v>
      </c>
      <c r="N50" s="10">
        <v>476.79199999999997</v>
      </c>
      <c r="O50" s="10">
        <v>457.983</v>
      </c>
    </row>
    <row r="51" spans="1:18" s="9" customFormat="1" x14ac:dyDescent="0.3">
      <c r="A51" s="9" t="s">
        <v>7</v>
      </c>
      <c r="B51" s="9">
        <v>2004</v>
      </c>
      <c r="C51" s="9" t="s">
        <v>8</v>
      </c>
      <c r="D51" s="9">
        <v>61175244</v>
      </c>
      <c r="E51" s="10">
        <v>2200000000000</v>
      </c>
      <c r="F51" s="10">
        <f t="shared" si="2"/>
        <v>35962.259504841531</v>
      </c>
      <c r="G51" s="10">
        <v>414.07299999999998</v>
      </c>
      <c r="H51" s="20">
        <v>6.7690000000000001</v>
      </c>
      <c r="I51" s="10">
        <v>1.556</v>
      </c>
      <c r="J51" s="10">
        <v>0.188</v>
      </c>
      <c r="K51" s="10">
        <v>3180.13</v>
      </c>
      <c r="L51" s="10">
        <v>1.4470000000000001</v>
      </c>
      <c r="M51" s="10">
        <v>534.798</v>
      </c>
      <c r="N51" s="10">
        <v>477.93</v>
      </c>
      <c r="O51" s="10">
        <v>458.178</v>
      </c>
    </row>
    <row r="52" spans="1:18" s="9" customFormat="1" x14ac:dyDescent="0.3">
      <c r="A52" s="9" t="s">
        <v>7</v>
      </c>
      <c r="B52" s="9">
        <v>2005</v>
      </c>
      <c r="C52" s="9" t="s">
        <v>8</v>
      </c>
      <c r="D52" s="9">
        <v>61625031</v>
      </c>
      <c r="E52" s="10">
        <v>2238790479440</v>
      </c>
      <c r="F52" s="10">
        <f t="shared" si="1"/>
        <v>36329.238997705332</v>
      </c>
      <c r="G52" s="10">
        <v>416.34300000000002</v>
      </c>
      <c r="H52" s="20">
        <v>6.7560000000000002</v>
      </c>
      <c r="I52" s="10">
        <v>1.5429999999999999</v>
      </c>
      <c r="J52" s="10">
        <v>0.186</v>
      </c>
      <c r="K52" s="10">
        <v>3154.0790000000002</v>
      </c>
      <c r="L52" s="10">
        <v>1.407</v>
      </c>
      <c r="M52" s="10">
        <v>545.49</v>
      </c>
      <c r="N52" s="10">
        <v>477.95600000000002</v>
      </c>
      <c r="O52" s="10">
        <v>459.58699999999999</v>
      </c>
    </row>
    <row r="53" spans="1:18" s="9" customFormat="1" x14ac:dyDescent="0.3">
      <c r="A53" s="9" t="s">
        <v>7</v>
      </c>
      <c r="B53" s="9">
        <v>2006</v>
      </c>
      <c r="C53" s="9" t="s">
        <v>8</v>
      </c>
      <c r="D53" s="9">
        <v>62049831</v>
      </c>
      <c r="E53" s="10">
        <v>2297018080700</v>
      </c>
      <c r="F53" s="10">
        <f t="shared" si="1"/>
        <v>37018.925655091633</v>
      </c>
      <c r="G53" s="10">
        <v>406.66899999999998</v>
      </c>
      <c r="H53" s="20">
        <v>6.5540000000000003</v>
      </c>
      <c r="I53" s="10">
        <v>1.5309999999999999</v>
      </c>
      <c r="J53" s="10">
        <v>0.17699999999999999</v>
      </c>
      <c r="K53" s="10">
        <v>3128.931</v>
      </c>
      <c r="L53" s="10">
        <v>1.329</v>
      </c>
      <c r="M53" s="10">
        <v>544.16499999999996</v>
      </c>
      <c r="N53" s="10">
        <v>466.45299999999997</v>
      </c>
      <c r="O53" s="10">
        <v>448.10500000000002</v>
      </c>
    </row>
    <row r="54" spans="1:18" s="9" customFormat="1" x14ac:dyDescent="0.3">
      <c r="A54" s="9" t="s">
        <v>7</v>
      </c>
      <c r="B54" s="9">
        <v>2007</v>
      </c>
      <c r="C54" s="9" t="s">
        <v>8</v>
      </c>
      <c r="D54" s="9">
        <v>62432438</v>
      </c>
      <c r="E54" s="10">
        <v>2354672057875</v>
      </c>
      <c r="F54" s="10">
        <f t="shared" si="1"/>
        <v>37715.52310475205</v>
      </c>
      <c r="G54" s="10">
        <v>396.46100000000001</v>
      </c>
      <c r="H54" s="20">
        <v>6.35</v>
      </c>
      <c r="I54" s="10">
        <v>1.518</v>
      </c>
      <c r="J54" s="10">
        <v>0.16800000000000001</v>
      </c>
      <c r="K54" s="10">
        <v>3075.79</v>
      </c>
      <c r="L54" s="10">
        <v>1.2589999999999999</v>
      </c>
      <c r="M54" s="10">
        <v>544.86699999999996</v>
      </c>
      <c r="N54" s="10">
        <v>457.94099999999997</v>
      </c>
      <c r="O54" s="10">
        <v>437.18099999999998</v>
      </c>
    </row>
    <row r="55" spans="1:18" s="9" customFormat="1" x14ac:dyDescent="0.3">
      <c r="A55" s="9" t="s">
        <v>7</v>
      </c>
      <c r="B55" s="9">
        <v>2008</v>
      </c>
      <c r="C55" s="9" t="s">
        <v>8</v>
      </c>
      <c r="D55" s="9">
        <v>62780187</v>
      </c>
      <c r="E55" s="10">
        <v>2362451821701</v>
      </c>
      <c r="F55" s="10">
        <f t="shared" si="1"/>
        <v>37630.531774315998</v>
      </c>
      <c r="G55" s="10">
        <v>389.79399999999998</v>
      </c>
      <c r="H55" s="20">
        <v>6.2089999999999996</v>
      </c>
      <c r="I55" s="10">
        <v>1.506</v>
      </c>
      <c r="J55" s="10">
        <v>0.16500000000000001</v>
      </c>
      <c r="K55" s="10">
        <v>3084.8449999999998</v>
      </c>
      <c r="L55" s="10">
        <v>1.216</v>
      </c>
      <c r="M55" s="10">
        <v>543.13900000000001</v>
      </c>
      <c r="N55" s="10">
        <v>452.32900000000001</v>
      </c>
      <c r="O55" s="10">
        <v>430.35500000000002</v>
      </c>
    </row>
    <row r="56" spans="1:18" s="9" customFormat="1" x14ac:dyDescent="0.3">
      <c r="A56" s="9" t="s">
        <v>7</v>
      </c>
      <c r="B56" s="9">
        <v>2009</v>
      </c>
      <c r="C56" s="9" t="s">
        <v>8</v>
      </c>
      <c r="D56" s="9">
        <v>63106460</v>
      </c>
      <c r="E56" s="10">
        <v>2295352990111</v>
      </c>
      <c r="F56" s="10">
        <f t="shared" si="1"/>
        <v>36372.710339179219</v>
      </c>
      <c r="G56" s="10">
        <v>371.404</v>
      </c>
      <c r="H56" s="20">
        <v>5.8849999999999998</v>
      </c>
      <c r="I56" s="10">
        <v>1.494</v>
      </c>
      <c r="J56" s="10">
        <v>0.16200000000000001</v>
      </c>
      <c r="K56" s="10">
        <v>2908.91</v>
      </c>
      <c r="L56" s="10">
        <v>1.179</v>
      </c>
      <c r="M56" s="10">
        <v>512.13900000000001</v>
      </c>
      <c r="N56" s="10">
        <v>433.11700000000002</v>
      </c>
      <c r="O56" s="10">
        <v>411.09500000000003</v>
      </c>
    </row>
    <row r="57" spans="1:18" s="9" customFormat="1" x14ac:dyDescent="0.3">
      <c r="A57" s="9" t="s">
        <v>7</v>
      </c>
      <c r="B57" s="9">
        <v>2010</v>
      </c>
      <c r="C57" s="9" t="s">
        <v>8</v>
      </c>
      <c r="D57" s="9">
        <v>63417366</v>
      </c>
      <c r="E57" s="10">
        <v>2342490492199</v>
      </c>
      <c r="F57" s="10">
        <f t="shared" si="1"/>
        <v>36937.68189929238</v>
      </c>
      <c r="G57" s="10">
        <v>377.07900000000001</v>
      </c>
      <c r="H57" s="20">
        <v>5.9459999999999997</v>
      </c>
      <c r="I57" s="10">
        <v>1.482</v>
      </c>
      <c r="J57" s="10">
        <v>0.161</v>
      </c>
      <c r="K57" s="10">
        <v>3001.2310000000002</v>
      </c>
      <c r="L57" s="10">
        <v>1.1319999999999999</v>
      </c>
      <c r="M57" s="10">
        <v>511.08</v>
      </c>
      <c r="N57" s="10">
        <v>442.92899999999997</v>
      </c>
      <c r="O57" s="10">
        <v>417.32100000000003</v>
      </c>
    </row>
    <row r="58" spans="1:18" s="9" customFormat="1" x14ac:dyDescent="0.3">
      <c r="A58" s="9" t="s">
        <v>7</v>
      </c>
      <c r="B58" s="9">
        <v>2011</v>
      </c>
      <c r="C58" s="9" t="s">
        <v>8</v>
      </c>
      <c r="D58" s="9">
        <v>63733776</v>
      </c>
      <c r="E58" s="10">
        <v>2393401943613</v>
      </c>
      <c r="F58" s="10">
        <f t="shared" si="1"/>
        <v>37553.11694717413</v>
      </c>
      <c r="G58" s="10">
        <v>355.12700000000001</v>
      </c>
      <c r="H58" s="20">
        <v>5.5720000000000001</v>
      </c>
      <c r="I58" s="10">
        <v>1.468</v>
      </c>
      <c r="J58" s="10">
        <v>0.14799999999999999</v>
      </c>
      <c r="K58" s="10">
        <v>2897.71</v>
      </c>
      <c r="L58" s="10">
        <v>1.03</v>
      </c>
      <c r="M58" s="10">
        <v>509.58699999999999</v>
      </c>
      <c r="N58" s="10">
        <v>417.79599999999999</v>
      </c>
      <c r="O58" s="10">
        <v>393.80399999999997</v>
      </c>
    </row>
    <row r="59" spans="1:18" s="9" customFormat="1" x14ac:dyDescent="0.3">
      <c r="A59" s="9" t="s">
        <v>7</v>
      </c>
      <c r="B59" s="9">
        <v>2012</v>
      </c>
      <c r="C59" s="9" t="s">
        <v>8</v>
      </c>
      <c r="D59" s="9">
        <v>64058465</v>
      </c>
      <c r="E59" s="10">
        <v>2400896391731</v>
      </c>
      <c r="F59" s="10">
        <f t="shared" si="1"/>
        <v>37479.76776732006</v>
      </c>
      <c r="G59" s="10">
        <v>358.1</v>
      </c>
      <c r="H59" s="20">
        <v>5.59</v>
      </c>
      <c r="I59" s="10">
        <v>1.454</v>
      </c>
      <c r="J59" s="10">
        <v>0.14899999999999999</v>
      </c>
      <c r="K59" s="10">
        <v>2894.8580000000002</v>
      </c>
      <c r="L59" s="10">
        <v>1.024</v>
      </c>
      <c r="M59" s="10">
        <v>479.55099999999999</v>
      </c>
      <c r="N59" s="10">
        <v>425.88900000000001</v>
      </c>
      <c r="O59" s="10">
        <v>396.41699999999997</v>
      </c>
    </row>
    <row r="60" spans="1:18" s="9" customFormat="1" x14ac:dyDescent="0.3">
      <c r="A60" s="9" t="s">
        <v>7</v>
      </c>
      <c r="B60" s="9">
        <v>2013</v>
      </c>
      <c r="C60" s="9" t="s">
        <v>8</v>
      </c>
      <c r="D60" s="9">
        <v>64387736</v>
      </c>
      <c r="E60" s="10">
        <v>2414733629218</v>
      </c>
      <c r="F60" s="10">
        <f t="shared" si="1"/>
        <v>37503.005684467615</v>
      </c>
      <c r="G60" s="10">
        <v>360.01299999999998</v>
      </c>
      <c r="H60" s="20">
        <v>5.5910000000000002</v>
      </c>
      <c r="I60" s="10">
        <v>1.4410000000000001</v>
      </c>
      <c r="J60" s="10">
        <v>0.14899999999999999</v>
      </c>
      <c r="K60" s="10">
        <v>2925.0529999999999</v>
      </c>
      <c r="L60" s="10">
        <v>1.0209999999999999</v>
      </c>
      <c r="M60" s="10">
        <v>483.37299999999999</v>
      </c>
      <c r="N60" s="10">
        <v>432.70499999999998</v>
      </c>
      <c r="O60" s="10">
        <v>398.03300000000002</v>
      </c>
    </row>
    <row r="61" spans="1:18" s="9" customFormat="1" x14ac:dyDescent="0.3">
      <c r="A61" s="9" t="s">
        <v>7</v>
      </c>
      <c r="B61" s="9">
        <v>2014</v>
      </c>
      <c r="C61" s="9" t="s">
        <v>8</v>
      </c>
      <c r="D61" s="9">
        <v>64692495</v>
      </c>
      <c r="E61" s="10">
        <v>2437822780219</v>
      </c>
      <c r="F61" s="10">
        <f t="shared" si="1"/>
        <v>37683.23945797731</v>
      </c>
      <c r="G61" s="10">
        <v>327.80900000000003</v>
      </c>
      <c r="H61" s="20">
        <v>5.0670000000000002</v>
      </c>
      <c r="I61" s="10">
        <v>1.427</v>
      </c>
      <c r="J61" s="10">
        <v>0.13400000000000001</v>
      </c>
      <c r="K61" s="10">
        <v>2797.7820000000002</v>
      </c>
      <c r="L61" s="10">
        <v>0.92400000000000004</v>
      </c>
      <c r="M61" s="10">
        <v>448.72199999999998</v>
      </c>
      <c r="N61" s="10">
        <v>401.91699999999997</v>
      </c>
      <c r="O61" s="10">
        <v>364.41699999999997</v>
      </c>
    </row>
    <row r="62" spans="1:18" s="9" customFormat="1" x14ac:dyDescent="0.3">
      <c r="A62" s="9" t="s">
        <v>7</v>
      </c>
      <c r="B62" s="9">
        <v>2015</v>
      </c>
      <c r="C62" s="9" t="s">
        <v>8</v>
      </c>
      <c r="D62" s="9">
        <v>64916337</v>
      </c>
      <c r="E62" s="10">
        <v>2464953810985</v>
      </c>
      <c r="F62" s="10">
        <f t="shared" si="1"/>
        <v>37971.239982086481</v>
      </c>
      <c r="G62" s="10">
        <v>332.13099999999997</v>
      </c>
      <c r="H62" s="20">
        <v>5.1159999999999997</v>
      </c>
      <c r="I62" s="10">
        <v>1.4139999999999999</v>
      </c>
      <c r="J62" s="10">
        <v>0.13500000000000001</v>
      </c>
      <c r="K62" s="10">
        <v>2823.4270000000001</v>
      </c>
      <c r="L62" s="10">
        <v>0.93799999999999994</v>
      </c>
      <c r="M62" s="10">
        <v>434.69400000000002</v>
      </c>
      <c r="N62" s="10">
        <v>407.67599999999999</v>
      </c>
      <c r="O62" s="10">
        <v>367.35899999999998</v>
      </c>
      <c r="R62" s="10">
        <f>AVERAGE(H72:H106)</f>
        <v>10.254885714285713</v>
      </c>
    </row>
    <row r="63" spans="1:18" s="9" customFormat="1" x14ac:dyDescent="0.3">
      <c r="A63" s="9" t="s">
        <v>7</v>
      </c>
      <c r="B63" s="9">
        <v>2016</v>
      </c>
      <c r="C63" s="9" t="s">
        <v>8</v>
      </c>
      <c r="D63" s="9">
        <v>65086853</v>
      </c>
      <c r="E63" s="10">
        <v>2491956183265</v>
      </c>
      <c r="F63" s="10">
        <f t="shared" si="1"/>
        <v>38286.628841388294</v>
      </c>
      <c r="G63" s="10">
        <v>335.49599999999998</v>
      </c>
      <c r="H63" s="20">
        <v>5.1550000000000002</v>
      </c>
      <c r="I63" s="10">
        <v>1.4019999999999999</v>
      </c>
      <c r="J63" s="10">
        <v>0.13500000000000001</v>
      </c>
      <c r="K63" s="10">
        <v>2766.5970000000002</v>
      </c>
      <c r="L63" s="10">
        <v>0.94799999999999995</v>
      </c>
      <c r="M63" s="10">
        <v>454.97199999999998</v>
      </c>
      <c r="N63" s="10">
        <v>412.226</v>
      </c>
      <c r="O63" s="10">
        <v>370.86</v>
      </c>
    </row>
    <row r="64" spans="1:18" s="9" customFormat="1" x14ac:dyDescent="0.3">
      <c r="A64" s="9" t="s">
        <v>7</v>
      </c>
      <c r="B64" s="9">
        <v>2017</v>
      </c>
      <c r="C64" s="9" t="s">
        <v>8</v>
      </c>
      <c r="D64" s="9">
        <v>65284775</v>
      </c>
      <c r="E64" s="10">
        <v>2549057506683</v>
      </c>
      <c r="F64" s="10">
        <f t="shared" si="1"/>
        <v>39045.206277926205</v>
      </c>
      <c r="G64" s="10">
        <v>338.36799999999999</v>
      </c>
      <c r="H64" s="20">
        <v>5.1829999999999998</v>
      </c>
      <c r="I64" s="10">
        <v>1.391</v>
      </c>
      <c r="J64" s="10">
        <v>0.13300000000000001</v>
      </c>
      <c r="K64" s="10">
        <v>2756.2289999999998</v>
      </c>
      <c r="L64" s="10">
        <v>0.94099999999999995</v>
      </c>
      <c r="M64" s="10">
        <v>453.01900000000001</v>
      </c>
      <c r="N64" s="10">
        <v>427.92</v>
      </c>
      <c r="O64" s="10">
        <v>374.16800000000001</v>
      </c>
    </row>
    <row r="65" spans="1:16" s="9" customFormat="1" x14ac:dyDescent="0.3">
      <c r="A65" s="9" t="s">
        <v>7</v>
      </c>
      <c r="B65" s="9">
        <v>2018</v>
      </c>
      <c r="C65" s="9" t="s">
        <v>8</v>
      </c>
      <c r="D65" s="9">
        <v>65519537</v>
      </c>
      <c r="E65" s="10">
        <v>2596599107835</v>
      </c>
      <c r="F65" s="10">
        <f t="shared" si="1"/>
        <v>39630.913567582138</v>
      </c>
      <c r="G65" s="10">
        <v>323.10199999999998</v>
      </c>
      <c r="H65" s="20">
        <v>4.931</v>
      </c>
      <c r="I65" s="10">
        <v>1.3779999999999999</v>
      </c>
      <c r="J65" s="10">
        <v>0.124</v>
      </c>
      <c r="K65" s="10">
        <v>2790.4290000000001</v>
      </c>
      <c r="L65" s="10">
        <v>0.88</v>
      </c>
      <c r="M65" s="10">
        <v>456.06900000000002</v>
      </c>
      <c r="N65" s="10">
        <v>399.24299999999999</v>
      </c>
      <c r="O65" s="10">
        <v>359.495</v>
      </c>
    </row>
    <row r="66" spans="1:16" s="9" customFormat="1" x14ac:dyDescent="0.3">
      <c r="A66" s="9" t="s">
        <v>7</v>
      </c>
      <c r="B66" s="9">
        <v>2019</v>
      </c>
      <c r="C66" s="9" t="s">
        <v>8</v>
      </c>
      <c r="D66" s="9">
        <v>65729460</v>
      </c>
      <c r="E66" s="10">
        <v>2644453795826</v>
      </c>
      <c r="F66" s="10">
        <f t="shared" si="1"/>
        <v>40232.398011880825</v>
      </c>
      <c r="G66" s="10">
        <v>316.32100000000003</v>
      </c>
      <c r="H66" s="20">
        <v>4.8120000000000003</v>
      </c>
      <c r="I66" s="10">
        <v>1.3660000000000001</v>
      </c>
      <c r="J66" s="10">
        <v>0.12</v>
      </c>
      <c r="K66" s="10">
        <v>2731.3470000000002</v>
      </c>
      <c r="L66" s="10">
        <v>0.85299999999999998</v>
      </c>
      <c r="M66" s="10">
        <v>442.64299999999997</v>
      </c>
      <c r="N66" s="10">
        <v>413.09699999999998</v>
      </c>
      <c r="O66" s="10">
        <v>351.154</v>
      </c>
    </row>
    <row r="67" spans="1:16" s="9" customFormat="1" x14ac:dyDescent="0.3">
      <c r="A67" s="9" t="s">
        <v>7</v>
      </c>
      <c r="B67" s="9">
        <v>2020</v>
      </c>
      <c r="C67" s="9" t="s">
        <v>8</v>
      </c>
      <c r="D67" s="9">
        <v>65905273</v>
      </c>
      <c r="E67" s="10">
        <v>2438594133224</v>
      </c>
      <c r="F67" s="10">
        <f t="shared" si="1"/>
        <v>37001.502644924934</v>
      </c>
      <c r="G67" s="10">
        <v>281.51499999999999</v>
      </c>
      <c r="H67" s="20">
        <v>4.2720000000000002</v>
      </c>
      <c r="I67" s="10">
        <v>1.3540000000000001</v>
      </c>
      <c r="J67" s="10">
        <v>0.115</v>
      </c>
      <c r="K67" s="10">
        <v>2444.2649999999999</v>
      </c>
      <c r="L67" s="10">
        <v>0.80100000000000005</v>
      </c>
      <c r="M67" s="10">
        <v>398.95800000000003</v>
      </c>
      <c r="N67" s="10">
        <v>363.79599999999999</v>
      </c>
      <c r="O67" s="10">
        <v>314.11</v>
      </c>
    </row>
    <row r="68" spans="1:16" s="9" customFormat="1" x14ac:dyDescent="0.3">
      <c r="A68" s="9" t="s">
        <v>7</v>
      </c>
      <c r="B68" s="9">
        <v>2021</v>
      </c>
      <c r="C68" s="9" t="s">
        <v>8</v>
      </c>
      <c r="D68" s="9">
        <v>66083547</v>
      </c>
      <c r="E68" s="10">
        <v>2604822841790</v>
      </c>
      <c r="F68" s="10">
        <f t="shared" si="1"/>
        <v>39417.116060522596</v>
      </c>
      <c r="G68" s="10">
        <v>307.27199999999999</v>
      </c>
      <c r="H68" s="20">
        <v>4.6500000000000004</v>
      </c>
      <c r="I68" s="10">
        <v>1.341</v>
      </c>
      <c r="J68" s="10">
        <v>0.11799999999999999</v>
      </c>
      <c r="K68" s="10">
        <v>2597.5610000000001</v>
      </c>
      <c r="L68" s="10">
        <v>0.83299999999999996</v>
      </c>
      <c r="M68" s="10">
        <v>440.19299999999998</v>
      </c>
      <c r="N68" s="10">
        <v>387.60199999999998</v>
      </c>
      <c r="O68" s="10">
        <v>340.20400000000001</v>
      </c>
    </row>
    <row r="69" spans="1:16" s="9" customFormat="1" x14ac:dyDescent="0.3">
      <c r="A69" s="9" t="s">
        <v>7</v>
      </c>
      <c r="B69" s="9">
        <v>2022</v>
      </c>
      <c r="C69" s="9" t="s">
        <v>8</v>
      </c>
      <c r="D69" s="9">
        <v>66277412</v>
      </c>
      <c r="E69" s="10">
        <v>2671568767031</v>
      </c>
      <c r="F69" s="10">
        <f t="shared" si="1"/>
        <v>40308.887845997968</v>
      </c>
      <c r="G69" s="10">
        <v>295.30399999999997</v>
      </c>
      <c r="H69" s="20">
        <v>4.4560000000000004</v>
      </c>
      <c r="I69" s="10">
        <v>1.327</v>
      </c>
      <c r="J69" s="10">
        <v>0.111</v>
      </c>
      <c r="K69" s="10">
        <v>2306.192</v>
      </c>
      <c r="L69" s="10">
        <v>0.78700000000000003</v>
      </c>
      <c r="M69" s="10">
        <v>437.44900000000001</v>
      </c>
      <c r="N69" s="10">
        <v>369.803</v>
      </c>
      <c r="O69" s="10">
        <v>327.29000000000002</v>
      </c>
    </row>
    <row r="70" spans="1:16" s="9" customFormat="1" x14ac:dyDescent="0.3">
      <c r="A70" s="9" t="s">
        <v>7</v>
      </c>
      <c r="B70" s="9">
        <v>2023</v>
      </c>
      <c r="C70" s="9" t="s">
        <v>8</v>
      </c>
      <c r="D70" s="9">
        <v>66438828</v>
      </c>
      <c r="E70" s="10" t="s">
        <v>66</v>
      </c>
      <c r="F70" s="10" t="s">
        <v>66</v>
      </c>
      <c r="G70" s="10">
        <v>270.26299999999998</v>
      </c>
      <c r="H70" s="20">
        <v>4.0679999999999996</v>
      </c>
      <c r="I70" s="10">
        <v>1.3140000000000001</v>
      </c>
      <c r="J70" s="10" t="s">
        <v>66</v>
      </c>
      <c r="K70" s="10">
        <v>2406.5140000000001</v>
      </c>
      <c r="L70" s="10">
        <v>0.70899999999999996</v>
      </c>
      <c r="M70" s="10">
        <v>407.36500000000001</v>
      </c>
      <c r="N70" s="10">
        <v>345.13499999999999</v>
      </c>
      <c r="O70" s="10">
        <v>301.16000000000003</v>
      </c>
    </row>
    <row r="71" spans="1:16" s="9" customFormat="1" x14ac:dyDescent="0.3">
      <c r="A71" s="9" t="s">
        <v>7</v>
      </c>
      <c r="B71" s="9">
        <v>2024</v>
      </c>
      <c r="C71" s="9" t="s">
        <v>8</v>
      </c>
      <c r="D71" s="9">
        <v>66548532</v>
      </c>
      <c r="E71" s="10" t="s">
        <v>66</v>
      </c>
      <c r="F71" s="10" t="s">
        <v>66</v>
      </c>
      <c r="G71" s="10">
        <v>264.15600000000001</v>
      </c>
      <c r="H71" s="20">
        <v>3.9689999999999999</v>
      </c>
      <c r="I71" s="10">
        <v>1.3</v>
      </c>
      <c r="J71" s="10" t="s">
        <v>66</v>
      </c>
      <c r="K71" s="10">
        <v>2519.9009999999998</v>
      </c>
      <c r="L71" s="10">
        <v>0.68400000000000005</v>
      </c>
      <c r="M71" s="10"/>
      <c r="N71" s="10">
        <v>337.87599999999998</v>
      </c>
      <c r="O71" s="10">
        <v>294.26</v>
      </c>
    </row>
    <row r="72" spans="1:16" s="11" customFormat="1" x14ac:dyDescent="0.3">
      <c r="A72" s="11" t="s">
        <v>9</v>
      </c>
      <c r="B72" s="11">
        <v>1990</v>
      </c>
      <c r="C72" s="11" t="s">
        <v>10</v>
      </c>
      <c r="D72" s="11">
        <v>79707963</v>
      </c>
      <c r="E72" s="12">
        <v>2020000000000</v>
      </c>
      <c r="F72" s="12">
        <f>E72/D72</f>
        <v>25342.511889307723</v>
      </c>
      <c r="G72" s="12">
        <v>1054.796</v>
      </c>
      <c r="H72" s="20">
        <v>13.233000000000001</v>
      </c>
      <c r="I72" s="12">
        <v>3.944</v>
      </c>
      <c r="J72" s="12">
        <v>0.52300000000000002</v>
      </c>
      <c r="K72" s="12">
        <v>4192.6419999999998</v>
      </c>
      <c r="L72" s="12">
        <v>4.6399999999999997</v>
      </c>
      <c r="M72" s="12">
        <v>1200.037</v>
      </c>
      <c r="N72" s="12">
        <v>1261.087</v>
      </c>
      <c r="O72" s="12">
        <v>1184.1510000000001</v>
      </c>
      <c r="P72" s="12">
        <f>AVERAGE(H72:H106)</f>
        <v>10.254885714285713</v>
      </c>
    </row>
    <row r="73" spans="1:16" s="11" customFormat="1" x14ac:dyDescent="0.3">
      <c r="A73" s="11" t="s">
        <v>9</v>
      </c>
      <c r="B73" s="11">
        <v>1991</v>
      </c>
      <c r="C73" s="11" t="s">
        <v>10</v>
      </c>
      <c r="D73" s="11">
        <v>80303190</v>
      </c>
      <c r="E73" s="12">
        <v>2140000000000</v>
      </c>
      <c r="F73" s="12">
        <f t="shared" ref="F73:F86" si="3">E73/D73</f>
        <v>26649.003607453204</v>
      </c>
      <c r="G73" s="12">
        <v>1016.93</v>
      </c>
      <c r="H73" s="20">
        <v>12.664</v>
      </c>
      <c r="I73" s="12">
        <v>3.9209999999999998</v>
      </c>
      <c r="J73" s="12">
        <v>0.47499999999999998</v>
      </c>
      <c r="K73" s="12">
        <v>4090.643</v>
      </c>
      <c r="L73" s="12">
        <v>4.3819999999999997</v>
      </c>
      <c r="M73" s="12">
        <v>1148.6289999999999</v>
      </c>
      <c r="N73" s="12">
        <v>1217.4090000000001</v>
      </c>
      <c r="O73" s="12">
        <v>1146.546</v>
      </c>
    </row>
    <row r="74" spans="1:16" s="11" customFormat="1" x14ac:dyDescent="0.3">
      <c r="A74" s="11" t="s">
        <v>9</v>
      </c>
      <c r="B74" s="11">
        <v>1992</v>
      </c>
      <c r="C74" s="11" t="s">
        <v>10</v>
      </c>
      <c r="D74" s="11">
        <v>80934901</v>
      </c>
      <c r="E74" s="12">
        <v>2200000000000</v>
      </c>
      <c r="F74" s="12">
        <f t="shared" si="3"/>
        <v>27182.340038940678</v>
      </c>
      <c r="G74" s="12">
        <v>969.46400000000006</v>
      </c>
      <c r="H74" s="20">
        <v>11.978</v>
      </c>
      <c r="I74" s="12">
        <v>3.8969999999999998</v>
      </c>
      <c r="J74" s="12">
        <v>0.44</v>
      </c>
      <c r="K74" s="12">
        <v>4009.3380000000002</v>
      </c>
      <c r="L74" s="12">
        <v>4.3049999999999997</v>
      </c>
      <c r="M74" s="12">
        <v>1236.1559999999999</v>
      </c>
      <c r="N74" s="12">
        <v>1166.5619999999999</v>
      </c>
      <c r="O74" s="12">
        <v>1096.886</v>
      </c>
    </row>
    <row r="75" spans="1:16" s="11" customFormat="1" x14ac:dyDescent="0.3">
      <c r="A75" s="11" t="s">
        <v>9</v>
      </c>
      <c r="B75" s="11">
        <v>1993</v>
      </c>
      <c r="C75" s="11" t="s">
        <v>10</v>
      </c>
      <c r="D75" s="11">
        <v>81486771</v>
      </c>
      <c r="E75" s="12">
        <v>2210000000000</v>
      </c>
      <c r="F75" s="12">
        <f t="shared" si="3"/>
        <v>27120.966665865311</v>
      </c>
      <c r="G75" s="12">
        <v>959.38599999999997</v>
      </c>
      <c r="H75" s="20">
        <v>11.773999999999999</v>
      </c>
      <c r="I75" s="12">
        <v>3.875</v>
      </c>
      <c r="J75" s="12">
        <v>0.435</v>
      </c>
      <c r="K75" s="12">
        <v>3991.527</v>
      </c>
      <c r="L75" s="12">
        <v>4.2169999999999996</v>
      </c>
      <c r="M75" s="12">
        <v>1179.403</v>
      </c>
      <c r="N75" s="12">
        <v>1150.585</v>
      </c>
      <c r="O75" s="12">
        <v>1080.721</v>
      </c>
    </row>
    <row r="76" spans="1:16" s="11" customFormat="1" x14ac:dyDescent="0.3">
      <c r="A76" s="11" t="s">
        <v>9</v>
      </c>
      <c r="B76" s="11">
        <v>1994</v>
      </c>
      <c r="C76" s="11" t="s">
        <v>10</v>
      </c>
      <c r="D76" s="11">
        <v>81773613</v>
      </c>
      <c r="E76" s="12">
        <v>2280000000000</v>
      </c>
      <c r="F76" s="12">
        <f t="shared" si="3"/>
        <v>27881.854749404309</v>
      </c>
      <c r="G76" s="12">
        <v>943.22799999999995</v>
      </c>
      <c r="H76" s="20">
        <v>11.535</v>
      </c>
      <c r="I76" s="12">
        <v>3.8490000000000002</v>
      </c>
      <c r="J76" s="12">
        <v>0.41299999999999998</v>
      </c>
      <c r="K76" s="12">
        <v>3954.172</v>
      </c>
      <c r="L76" s="12">
        <v>4.1059999999999999</v>
      </c>
      <c r="M76" s="12">
        <v>1148.038</v>
      </c>
      <c r="N76" s="12">
        <v>1132.3330000000001</v>
      </c>
      <c r="O76" s="12">
        <v>1063.645</v>
      </c>
    </row>
    <row r="77" spans="1:16" s="11" customFormat="1" x14ac:dyDescent="0.3">
      <c r="A77" s="11" t="s">
        <v>9</v>
      </c>
      <c r="B77" s="11">
        <v>1995</v>
      </c>
      <c r="C77" s="11" t="s">
        <v>10</v>
      </c>
      <c r="D77" s="11">
        <v>82019890</v>
      </c>
      <c r="E77" s="12">
        <v>2350000000000</v>
      </c>
      <c r="F77" s="12">
        <f t="shared" si="3"/>
        <v>28651.586828511961</v>
      </c>
      <c r="G77" s="12">
        <v>939.93399999999997</v>
      </c>
      <c r="H77" s="20">
        <v>11.46</v>
      </c>
      <c r="I77" s="12">
        <v>3.8239999999999998</v>
      </c>
      <c r="J77" s="12">
        <v>0.4</v>
      </c>
      <c r="K77" s="12">
        <v>3974.7950000000001</v>
      </c>
      <c r="L77" s="12">
        <v>3.9969999999999999</v>
      </c>
      <c r="M77" s="12">
        <v>1152.0039999999999</v>
      </c>
      <c r="N77" s="12">
        <v>1123.8589999999999</v>
      </c>
      <c r="O77" s="12">
        <v>1055.8230000000001</v>
      </c>
    </row>
    <row r="78" spans="1:16" s="11" customFormat="1" x14ac:dyDescent="0.3">
      <c r="A78" s="11" t="s">
        <v>9</v>
      </c>
      <c r="B78" s="11">
        <v>1996</v>
      </c>
      <c r="C78" s="11" t="s">
        <v>10</v>
      </c>
      <c r="D78" s="11">
        <v>82263195</v>
      </c>
      <c r="E78" s="12">
        <v>2390000000000</v>
      </c>
      <c r="F78" s="12">
        <f t="shared" si="3"/>
        <v>29053.089902477044</v>
      </c>
      <c r="G78" s="12">
        <v>959.69</v>
      </c>
      <c r="H78" s="20">
        <v>11.666</v>
      </c>
      <c r="I78" s="12">
        <v>3.798</v>
      </c>
      <c r="J78" s="12">
        <v>0.40100000000000002</v>
      </c>
      <c r="K78" s="12">
        <v>4105.8459999999995</v>
      </c>
      <c r="L78" s="12">
        <v>3.96</v>
      </c>
      <c r="M78" s="12">
        <v>1135.165</v>
      </c>
      <c r="N78" s="12">
        <v>1143.8710000000001</v>
      </c>
      <c r="O78" s="12">
        <v>1074.857</v>
      </c>
    </row>
    <row r="79" spans="1:16" s="11" customFormat="1" x14ac:dyDescent="0.3">
      <c r="A79" s="11" t="s">
        <v>9</v>
      </c>
      <c r="B79" s="11">
        <v>1997</v>
      </c>
      <c r="C79" s="11" t="s">
        <v>10</v>
      </c>
      <c r="D79" s="11">
        <v>82389631</v>
      </c>
      <c r="E79" s="12">
        <v>2460000000000</v>
      </c>
      <c r="F79" s="12">
        <f t="shared" si="3"/>
        <v>29858.126200371014</v>
      </c>
      <c r="G79" s="12">
        <v>931.50800000000004</v>
      </c>
      <c r="H79" s="20">
        <v>11.305999999999999</v>
      </c>
      <c r="I79" s="12">
        <v>3.7690000000000001</v>
      </c>
      <c r="J79" s="12">
        <v>0.379</v>
      </c>
      <c r="K79" s="12">
        <v>4053.1869999999999</v>
      </c>
      <c r="L79" s="12">
        <v>3.8210000000000002</v>
      </c>
      <c r="M79" s="12">
        <v>1077.9939999999999</v>
      </c>
      <c r="N79" s="12">
        <v>1109.3900000000001</v>
      </c>
      <c r="O79" s="12">
        <v>1039.211</v>
      </c>
    </row>
    <row r="80" spans="1:16" s="11" customFormat="1" x14ac:dyDescent="0.3">
      <c r="A80" s="11" t="s">
        <v>9</v>
      </c>
      <c r="B80" s="11">
        <v>1998</v>
      </c>
      <c r="C80" s="11" t="s">
        <v>10</v>
      </c>
      <c r="D80" s="11">
        <v>82011933</v>
      </c>
      <c r="E80" s="12">
        <v>2540000000000</v>
      </c>
      <c r="F80" s="12">
        <f t="shared" si="3"/>
        <v>30971.102705261197</v>
      </c>
      <c r="G80" s="12">
        <v>923.49900000000002</v>
      </c>
      <c r="H80" s="20">
        <v>11.260999999999999</v>
      </c>
      <c r="I80" s="12">
        <v>3.7429999999999999</v>
      </c>
      <c r="J80" s="12">
        <v>0.36399999999999999</v>
      </c>
      <c r="K80" s="12">
        <v>4019.6320000000001</v>
      </c>
      <c r="L80" s="12">
        <v>3.8010000000000002</v>
      </c>
      <c r="M80" s="12">
        <v>1093.308</v>
      </c>
      <c r="N80" s="12">
        <v>1078.6130000000001</v>
      </c>
      <c r="O80" s="12">
        <v>1011.417</v>
      </c>
    </row>
    <row r="81" spans="1:15" s="11" customFormat="1" x14ac:dyDescent="0.3">
      <c r="A81" s="11" t="s">
        <v>9</v>
      </c>
      <c r="B81" s="11">
        <v>1999</v>
      </c>
      <c r="C81" s="11" t="s">
        <v>10</v>
      </c>
      <c r="D81" s="11">
        <v>81678279</v>
      </c>
      <c r="E81" s="12">
        <v>2610000000000</v>
      </c>
      <c r="F81" s="12">
        <f t="shared" si="3"/>
        <v>31954.639984517795</v>
      </c>
      <c r="G81" s="12">
        <v>895.44200000000001</v>
      </c>
      <c r="H81" s="20">
        <v>10.962999999999999</v>
      </c>
      <c r="I81" s="12">
        <v>3.7149999999999999</v>
      </c>
      <c r="J81" s="12">
        <v>0.34300000000000003</v>
      </c>
      <c r="K81" s="12">
        <v>3963.56</v>
      </c>
      <c r="L81" s="12">
        <v>3.605</v>
      </c>
      <c r="M81" s="12">
        <v>1093.345</v>
      </c>
      <c r="N81" s="12">
        <v>1044.6010000000001</v>
      </c>
      <c r="O81" s="12">
        <v>978.76300000000003</v>
      </c>
    </row>
    <row r="82" spans="1:15" s="11" customFormat="1" x14ac:dyDescent="0.3">
      <c r="A82" s="11" t="s">
        <v>9</v>
      </c>
      <c r="B82" s="11">
        <v>2000</v>
      </c>
      <c r="C82" s="11" t="s">
        <v>10</v>
      </c>
      <c r="D82" s="11">
        <v>81797255</v>
      </c>
      <c r="E82" s="12">
        <v>2720000000000</v>
      </c>
      <c r="F82" s="12">
        <f t="shared" si="3"/>
        <v>33252.949625265544</v>
      </c>
      <c r="G82" s="12">
        <v>898.976</v>
      </c>
      <c r="H82" s="20">
        <v>10.99</v>
      </c>
      <c r="I82" s="12">
        <v>3.6850000000000001</v>
      </c>
      <c r="J82" s="12">
        <v>0.33100000000000002</v>
      </c>
      <c r="K82" s="12">
        <v>3988.1790000000001</v>
      </c>
      <c r="L82" s="12">
        <v>3.524</v>
      </c>
      <c r="M82" s="12">
        <v>1100.675</v>
      </c>
      <c r="N82" s="12">
        <v>1042.3109999999999</v>
      </c>
      <c r="O82" s="12">
        <v>978.32</v>
      </c>
    </row>
    <row r="83" spans="1:15" s="11" customFormat="1" x14ac:dyDescent="0.3">
      <c r="A83" s="11" t="s">
        <v>9</v>
      </c>
      <c r="B83" s="11">
        <v>2001</v>
      </c>
      <c r="C83" s="11" t="s">
        <v>10</v>
      </c>
      <c r="D83" s="11">
        <v>81933882</v>
      </c>
      <c r="E83" s="12">
        <v>2790000000000</v>
      </c>
      <c r="F83" s="12">
        <f t="shared" si="3"/>
        <v>34051.846829373957</v>
      </c>
      <c r="G83" s="12">
        <v>915.255</v>
      </c>
      <c r="H83" s="20">
        <v>11.170999999999999</v>
      </c>
      <c r="I83" s="12">
        <v>3.6560000000000001</v>
      </c>
      <c r="J83" s="12">
        <v>0.32800000000000001</v>
      </c>
      <c r="K83" s="12">
        <v>4062.799</v>
      </c>
      <c r="L83" s="12">
        <v>3.5619999999999998</v>
      </c>
      <c r="M83" s="12">
        <v>1097.2329999999999</v>
      </c>
      <c r="N83" s="12">
        <v>1053.2080000000001</v>
      </c>
      <c r="O83" s="12">
        <v>989.11199999999997</v>
      </c>
    </row>
    <row r="84" spans="1:15" s="11" customFormat="1" x14ac:dyDescent="0.3">
      <c r="A84" s="11" t="s">
        <v>9</v>
      </c>
      <c r="B84" s="11">
        <v>2002</v>
      </c>
      <c r="C84" s="11" t="s">
        <v>10</v>
      </c>
      <c r="D84" s="11">
        <v>82068328</v>
      </c>
      <c r="E84" s="12">
        <v>2820000000000</v>
      </c>
      <c r="F84" s="12">
        <f t="shared" si="3"/>
        <v>34361.611461122979</v>
      </c>
      <c r="G84" s="12">
        <v>898.83399999999995</v>
      </c>
      <c r="H84" s="20">
        <v>10.952</v>
      </c>
      <c r="I84" s="12">
        <v>3.6259999999999999</v>
      </c>
      <c r="J84" s="12">
        <v>0.318</v>
      </c>
      <c r="K84" s="12">
        <v>4011.723</v>
      </c>
      <c r="L84" s="12">
        <v>3.4220000000000002</v>
      </c>
      <c r="M84" s="12">
        <v>1033.0740000000001</v>
      </c>
      <c r="N84" s="12">
        <v>1034.0820000000001</v>
      </c>
      <c r="O84" s="12">
        <v>969.33299999999997</v>
      </c>
    </row>
    <row r="85" spans="1:15" s="11" customFormat="1" x14ac:dyDescent="0.3">
      <c r="A85" s="11" t="s">
        <v>9</v>
      </c>
      <c r="B85" s="11">
        <v>2003</v>
      </c>
      <c r="C85" s="11" t="s">
        <v>10</v>
      </c>
      <c r="D85" s="11">
        <v>82111619</v>
      </c>
      <c r="E85" s="12">
        <v>2830000000000</v>
      </c>
      <c r="F85" s="12">
        <f t="shared" si="3"/>
        <v>34465.280729637059</v>
      </c>
      <c r="G85" s="12">
        <v>894.50099999999998</v>
      </c>
      <c r="H85" s="20">
        <v>10.894</v>
      </c>
      <c r="I85" s="12">
        <v>3.593</v>
      </c>
      <c r="J85" s="12">
        <v>0.316</v>
      </c>
      <c r="K85" s="12">
        <v>4010.471</v>
      </c>
      <c r="L85" s="12">
        <v>3.2349999999999999</v>
      </c>
      <c r="M85" s="12">
        <v>1056.0899999999999</v>
      </c>
      <c r="N85" s="12">
        <v>1027.4110000000001</v>
      </c>
      <c r="O85" s="12">
        <v>961.947</v>
      </c>
    </row>
    <row r="86" spans="1:15" s="11" customFormat="1" x14ac:dyDescent="0.3">
      <c r="A86" s="11" t="s">
        <v>9</v>
      </c>
      <c r="B86" s="11">
        <v>2004</v>
      </c>
      <c r="C86" s="11" t="s">
        <v>10</v>
      </c>
      <c r="D86" s="11">
        <v>82092706</v>
      </c>
      <c r="E86" s="12">
        <v>2890000000000</v>
      </c>
      <c r="F86" s="12">
        <f t="shared" si="3"/>
        <v>35204.102055059557</v>
      </c>
      <c r="G86" s="12">
        <v>876.57</v>
      </c>
      <c r="H86" s="20">
        <v>10.678000000000001</v>
      </c>
      <c r="I86" s="12">
        <v>3.5590000000000002</v>
      </c>
      <c r="J86" s="12">
        <v>0.30299999999999999</v>
      </c>
      <c r="K86" s="12">
        <v>4009.893</v>
      </c>
      <c r="L86" s="12">
        <v>3.0640000000000001</v>
      </c>
      <c r="M86" s="12">
        <v>1037.2650000000001</v>
      </c>
      <c r="N86" s="12">
        <v>1007.236</v>
      </c>
      <c r="O86" s="12">
        <v>941.51</v>
      </c>
    </row>
    <row r="87" spans="1:15" s="11" customFormat="1" x14ac:dyDescent="0.3">
      <c r="A87" s="11" t="s">
        <v>9</v>
      </c>
      <c r="B87" s="11">
        <v>2005</v>
      </c>
      <c r="C87" s="11" t="s">
        <v>10</v>
      </c>
      <c r="D87" s="11">
        <v>82046733</v>
      </c>
      <c r="E87" s="12">
        <v>2945460930734</v>
      </c>
      <c r="F87" s="12">
        <f t="shared" si="1"/>
        <v>35899.795434072919</v>
      </c>
      <c r="G87" s="12">
        <v>867.88</v>
      </c>
      <c r="H87" s="20">
        <v>10.577999999999999</v>
      </c>
      <c r="I87" s="12">
        <v>3.5249999999999999</v>
      </c>
      <c r="J87" s="12">
        <v>0.29499999999999998</v>
      </c>
      <c r="K87" s="12">
        <v>3962.6350000000002</v>
      </c>
      <c r="L87" s="12">
        <v>2.9319999999999999</v>
      </c>
      <c r="M87" s="12">
        <v>1045.2639999999999</v>
      </c>
      <c r="N87" s="12">
        <v>994.28700000000003</v>
      </c>
      <c r="O87" s="12">
        <v>929.303</v>
      </c>
    </row>
    <row r="88" spans="1:15" s="11" customFormat="1" x14ac:dyDescent="0.3">
      <c r="A88" s="11" t="s">
        <v>9</v>
      </c>
      <c r="B88" s="11">
        <v>2006</v>
      </c>
      <c r="C88" s="11" t="s">
        <v>10</v>
      </c>
      <c r="D88" s="11">
        <v>81701971</v>
      </c>
      <c r="E88" s="12">
        <v>3086359147617</v>
      </c>
      <c r="F88" s="12">
        <f t="shared" si="1"/>
        <v>37775.822417025898</v>
      </c>
      <c r="G88" s="12">
        <v>886.43399999999997</v>
      </c>
      <c r="H88" s="20">
        <v>10.85</v>
      </c>
      <c r="I88" s="12">
        <v>3.49</v>
      </c>
      <c r="J88" s="12">
        <v>0.28699999999999998</v>
      </c>
      <c r="K88" s="12">
        <v>4062.3870000000002</v>
      </c>
      <c r="L88" s="12">
        <v>2.8969999999999998</v>
      </c>
      <c r="M88" s="12">
        <v>1047.4949999999999</v>
      </c>
      <c r="N88" s="12">
        <v>1010.1079999999999</v>
      </c>
      <c r="O88" s="12">
        <v>946.09500000000003</v>
      </c>
    </row>
    <row r="89" spans="1:15" s="11" customFormat="1" x14ac:dyDescent="0.3">
      <c r="A89" s="11" t="s">
        <v>9</v>
      </c>
      <c r="B89" s="11">
        <v>2007</v>
      </c>
      <c r="C89" s="11" t="s">
        <v>10</v>
      </c>
      <c r="D89" s="11">
        <v>81298546</v>
      </c>
      <c r="E89" s="12">
        <v>3220275669650</v>
      </c>
      <c r="F89" s="12">
        <f t="shared" si="1"/>
        <v>39610.495243666475</v>
      </c>
      <c r="G89" s="12">
        <v>846.15300000000002</v>
      </c>
      <c r="H89" s="20">
        <v>10.407999999999999</v>
      </c>
      <c r="I89" s="12">
        <v>3.4550000000000001</v>
      </c>
      <c r="J89" s="12">
        <v>0.26300000000000001</v>
      </c>
      <c r="K89" s="12">
        <v>3893.4229999999998</v>
      </c>
      <c r="L89" s="12">
        <v>2.6859999999999999</v>
      </c>
      <c r="M89" s="12">
        <v>1035.231</v>
      </c>
      <c r="N89" s="12">
        <v>972.65099999999995</v>
      </c>
      <c r="O89" s="12">
        <v>905.26900000000001</v>
      </c>
    </row>
    <row r="90" spans="1:15" s="11" customFormat="1" x14ac:dyDescent="0.3">
      <c r="A90" s="11" t="s">
        <v>9</v>
      </c>
      <c r="B90" s="11">
        <v>2008</v>
      </c>
      <c r="C90" s="11" t="s">
        <v>10</v>
      </c>
      <c r="D90" s="11">
        <v>81110780</v>
      </c>
      <c r="E90" s="12">
        <v>3289020399474</v>
      </c>
      <c r="F90" s="12">
        <f t="shared" si="1"/>
        <v>40549.732100640627</v>
      </c>
      <c r="G90" s="12">
        <v>856.64300000000003</v>
      </c>
      <c r="H90" s="20">
        <v>10.561</v>
      </c>
      <c r="I90" s="12">
        <v>3.4220000000000002</v>
      </c>
      <c r="J90" s="12">
        <v>0.26</v>
      </c>
      <c r="K90" s="12">
        <v>3934.6660000000002</v>
      </c>
      <c r="L90" s="12">
        <v>2.673</v>
      </c>
      <c r="M90" s="12">
        <v>1036.8910000000001</v>
      </c>
      <c r="N90" s="12">
        <v>978.99699999999996</v>
      </c>
      <c r="O90" s="12">
        <v>912.33699999999999</v>
      </c>
    </row>
    <row r="91" spans="1:15" s="11" customFormat="1" x14ac:dyDescent="0.3">
      <c r="A91" s="11" t="s">
        <v>9</v>
      </c>
      <c r="B91" s="11">
        <v>2009</v>
      </c>
      <c r="C91" s="11" t="s">
        <v>10</v>
      </c>
      <c r="D91" s="11">
        <v>80935276</v>
      </c>
      <c r="E91" s="12">
        <v>3136502162046</v>
      </c>
      <c r="F91" s="12">
        <f t="shared" si="1"/>
        <v>38753.21512520696</v>
      </c>
      <c r="G91" s="12">
        <v>789.98400000000004</v>
      </c>
      <c r="H91" s="20">
        <v>9.7609999999999992</v>
      </c>
      <c r="I91" s="12">
        <v>3.387</v>
      </c>
      <c r="J91" s="12">
        <v>0.252</v>
      </c>
      <c r="K91" s="12">
        <v>3692.1779999999999</v>
      </c>
      <c r="L91" s="12">
        <v>2.5070000000000001</v>
      </c>
      <c r="M91" s="12">
        <v>980.01400000000001</v>
      </c>
      <c r="N91" s="12">
        <v>905.80499999999995</v>
      </c>
      <c r="O91" s="12">
        <v>842.56500000000005</v>
      </c>
    </row>
    <row r="92" spans="1:15" s="11" customFormat="1" x14ac:dyDescent="0.3">
      <c r="A92" s="11" t="s">
        <v>9</v>
      </c>
      <c r="B92" s="11">
        <v>2010</v>
      </c>
      <c r="C92" s="11" t="s">
        <v>10</v>
      </c>
      <c r="D92" s="11">
        <v>80830916</v>
      </c>
      <c r="E92" s="12">
        <v>3301123203586</v>
      </c>
      <c r="F92" s="12">
        <f t="shared" si="1"/>
        <v>40839.858892431701</v>
      </c>
      <c r="G92" s="12">
        <v>826.70500000000004</v>
      </c>
      <c r="H92" s="20">
        <v>10.228</v>
      </c>
      <c r="I92" s="12">
        <v>3.3530000000000002</v>
      </c>
      <c r="J92" s="12">
        <v>0.25</v>
      </c>
      <c r="K92" s="12">
        <v>3847.1509999999998</v>
      </c>
      <c r="L92" s="12">
        <v>2.4809999999999999</v>
      </c>
      <c r="M92" s="12">
        <v>1027.0820000000001</v>
      </c>
      <c r="N92" s="12">
        <v>944.31500000000005</v>
      </c>
      <c r="O92" s="12">
        <v>878.14400000000001</v>
      </c>
    </row>
    <row r="93" spans="1:15" s="11" customFormat="1" x14ac:dyDescent="0.3">
      <c r="A93" s="11" t="s">
        <v>9</v>
      </c>
      <c r="B93" s="11">
        <v>2011</v>
      </c>
      <c r="C93" s="11" t="s">
        <v>10</v>
      </c>
      <c r="D93" s="11">
        <v>80857877</v>
      </c>
      <c r="E93" s="12">
        <v>3467712967640</v>
      </c>
      <c r="F93" s="12">
        <f t="shared" si="1"/>
        <v>42886.520105394309</v>
      </c>
      <c r="G93" s="12">
        <v>804.54200000000003</v>
      </c>
      <c r="H93" s="20">
        <v>9.9499999999999993</v>
      </c>
      <c r="I93" s="12">
        <v>3.3170000000000002</v>
      </c>
      <c r="J93" s="12">
        <v>0.23200000000000001</v>
      </c>
      <c r="K93" s="12">
        <v>3710.585</v>
      </c>
      <c r="L93" s="12">
        <v>2.3330000000000002</v>
      </c>
      <c r="M93" s="12">
        <v>988.97500000000002</v>
      </c>
      <c r="N93" s="12">
        <v>917.06200000000001</v>
      </c>
      <c r="O93" s="12">
        <v>854.61300000000006</v>
      </c>
    </row>
    <row r="94" spans="1:15" s="11" customFormat="1" x14ac:dyDescent="0.3">
      <c r="A94" s="11" t="s">
        <v>9</v>
      </c>
      <c r="B94" s="11">
        <v>2012</v>
      </c>
      <c r="C94" s="11" t="s">
        <v>10</v>
      </c>
      <c r="D94" s="11">
        <v>80916391</v>
      </c>
      <c r="E94" s="12">
        <v>3482225441398</v>
      </c>
      <c r="F94" s="12">
        <f t="shared" si="1"/>
        <v>43034.858554158702</v>
      </c>
      <c r="G94" s="12">
        <v>814.09299999999996</v>
      </c>
      <c r="H94" s="20">
        <v>10.061</v>
      </c>
      <c r="I94" s="12">
        <v>3.282</v>
      </c>
      <c r="J94" s="12">
        <v>0.23400000000000001</v>
      </c>
      <c r="K94" s="12">
        <v>3761.9160000000002</v>
      </c>
      <c r="L94" s="12">
        <v>2.3290000000000002</v>
      </c>
      <c r="M94" s="12">
        <v>932.12199999999996</v>
      </c>
      <c r="N94" s="12">
        <v>928.36500000000001</v>
      </c>
      <c r="O94" s="12">
        <v>862.72199999999998</v>
      </c>
    </row>
    <row r="95" spans="1:15" s="11" customFormat="1" x14ac:dyDescent="0.3">
      <c r="A95" s="11" t="s">
        <v>9</v>
      </c>
      <c r="B95" s="11">
        <v>2013</v>
      </c>
      <c r="C95" s="11" t="s">
        <v>10</v>
      </c>
      <c r="D95" s="11">
        <v>81041581</v>
      </c>
      <c r="E95" s="12">
        <v>3497463140441</v>
      </c>
      <c r="F95" s="12">
        <f t="shared" si="1"/>
        <v>43156.403136323315</v>
      </c>
      <c r="G95" s="12">
        <v>831.74599999999998</v>
      </c>
      <c r="H95" s="20">
        <v>10.263</v>
      </c>
      <c r="I95" s="12">
        <v>3.25</v>
      </c>
      <c r="J95" s="12">
        <v>0.23799999999999999</v>
      </c>
      <c r="K95" s="12">
        <v>3868.5169999999998</v>
      </c>
      <c r="L95" s="12">
        <v>2.3580000000000001</v>
      </c>
      <c r="M95" s="12">
        <v>929.55799999999999</v>
      </c>
      <c r="N95" s="12">
        <v>946.15499999999997</v>
      </c>
      <c r="O95" s="12">
        <v>878.82899999999995</v>
      </c>
    </row>
    <row r="96" spans="1:15" s="11" customFormat="1" x14ac:dyDescent="0.3">
      <c r="A96" s="11" t="s">
        <v>9</v>
      </c>
      <c r="B96" s="11">
        <v>2014</v>
      </c>
      <c r="C96" s="11" t="s">
        <v>10</v>
      </c>
      <c r="D96" s="11">
        <v>81376078</v>
      </c>
      <c r="E96" s="12">
        <v>3574741315261</v>
      </c>
      <c r="F96" s="12">
        <f t="shared" si="1"/>
        <v>43928.650816287802</v>
      </c>
      <c r="G96" s="12">
        <v>792.58399999999995</v>
      </c>
      <c r="H96" s="20">
        <v>9.74</v>
      </c>
      <c r="I96" s="12">
        <v>3.2170000000000001</v>
      </c>
      <c r="J96" s="12">
        <v>0.222</v>
      </c>
      <c r="K96" s="12">
        <v>3710.4650000000001</v>
      </c>
      <c r="L96" s="12">
        <v>2.2349999999999999</v>
      </c>
      <c r="M96" s="12">
        <v>907.72299999999996</v>
      </c>
      <c r="N96" s="12">
        <v>905.69799999999998</v>
      </c>
      <c r="O96" s="12">
        <v>837.88800000000003</v>
      </c>
    </row>
    <row r="97" spans="1:16" s="11" customFormat="1" x14ac:dyDescent="0.3">
      <c r="A97" s="11" t="s">
        <v>9</v>
      </c>
      <c r="B97" s="11">
        <v>2015</v>
      </c>
      <c r="C97" s="11" t="s">
        <v>10</v>
      </c>
      <c r="D97" s="11">
        <v>82077546</v>
      </c>
      <c r="E97" s="12">
        <v>3628073946157</v>
      </c>
      <c r="F97" s="12">
        <f t="shared" si="1"/>
        <v>44203.002196934591</v>
      </c>
      <c r="G97" s="12">
        <v>800.82299999999998</v>
      </c>
      <c r="H97" s="20">
        <v>9.7569999999999997</v>
      </c>
      <c r="I97" s="12">
        <v>3.1859999999999999</v>
      </c>
      <c r="J97" s="12">
        <v>0.221</v>
      </c>
      <c r="K97" s="12">
        <v>3780.86</v>
      </c>
      <c r="L97" s="12">
        <v>2.262</v>
      </c>
      <c r="M97" s="12">
        <v>899.51400000000001</v>
      </c>
      <c r="N97" s="12">
        <v>911.14200000000005</v>
      </c>
      <c r="O97" s="12">
        <v>845.29499999999996</v>
      </c>
    </row>
    <row r="98" spans="1:16" s="11" customFormat="1" x14ac:dyDescent="0.3">
      <c r="A98" s="11" t="s">
        <v>9</v>
      </c>
      <c r="B98" s="11">
        <v>2016</v>
      </c>
      <c r="C98" s="11" t="s">
        <v>10</v>
      </c>
      <c r="D98" s="11">
        <v>82760102</v>
      </c>
      <c r="E98" s="12">
        <v>3708979940863</v>
      </c>
      <c r="F98" s="12">
        <f t="shared" si="1"/>
        <v>44816.038782347081</v>
      </c>
      <c r="G98" s="12">
        <v>797.98800000000006</v>
      </c>
      <c r="H98" s="20">
        <v>9.6419999999999995</v>
      </c>
      <c r="I98" s="12">
        <v>3.1579999999999999</v>
      </c>
      <c r="J98" s="12">
        <v>0.215</v>
      </c>
      <c r="K98" s="12">
        <v>3841.451</v>
      </c>
      <c r="L98" s="12">
        <v>2.2549999999999999</v>
      </c>
      <c r="M98" s="12">
        <v>910.17100000000005</v>
      </c>
      <c r="N98" s="12">
        <v>907.17700000000002</v>
      </c>
      <c r="O98" s="12">
        <v>841.16700000000003</v>
      </c>
    </row>
    <row r="99" spans="1:16" s="11" customFormat="1" x14ac:dyDescent="0.3">
      <c r="A99" s="11" t="s">
        <v>9</v>
      </c>
      <c r="B99" s="11">
        <v>2017</v>
      </c>
      <c r="C99" s="11" t="s">
        <v>10</v>
      </c>
      <c r="D99" s="11">
        <v>83104010</v>
      </c>
      <c r="E99" s="12">
        <v>3808389445530</v>
      </c>
      <c r="F99" s="12">
        <f t="shared" si="1"/>
        <v>45826.783154386896</v>
      </c>
      <c r="G99" s="12">
        <v>784.59500000000003</v>
      </c>
      <c r="H99" s="20">
        <v>9.4410000000000007</v>
      </c>
      <c r="I99" s="12">
        <v>3.129</v>
      </c>
      <c r="J99" s="12">
        <v>0.20599999999999999</v>
      </c>
      <c r="K99" s="12">
        <v>3949.556</v>
      </c>
      <c r="L99" s="12">
        <v>2.181</v>
      </c>
      <c r="M99" s="12">
        <v>901.79100000000005</v>
      </c>
      <c r="N99" s="12">
        <v>891.56899999999996</v>
      </c>
      <c r="O99" s="12">
        <v>827.495</v>
      </c>
    </row>
    <row r="100" spans="1:16" s="11" customFormat="1" x14ac:dyDescent="0.3">
      <c r="A100" s="11" t="s">
        <v>9</v>
      </c>
      <c r="B100" s="11">
        <v>2018</v>
      </c>
      <c r="C100" s="11" t="s">
        <v>10</v>
      </c>
      <c r="D100" s="11">
        <v>83368507</v>
      </c>
      <c r="E100" s="12">
        <v>3845758522294</v>
      </c>
      <c r="F100" s="12">
        <f t="shared" si="1"/>
        <v>46129.631688066576</v>
      </c>
      <c r="G100" s="12">
        <v>758.77099999999996</v>
      </c>
      <c r="H100" s="20">
        <v>9.1010000000000009</v>
      </c>
      <c r="I100" s="12">
        <v>3.0990000000000002</v>
      </c>
      <c r="J100" s="12">
        <v>0.19700000000000001</v>
      </c>
      <c r="K100" s="12">
        <v>3845.4140000000002</v>
      </c>
      <c r="L100" s="12">
        <v>2.0659999999999998</v>
      </c>
      <c r="M100" s="12">
        <v>892.14099999999996</v>
      </c>
      <c r="N100" s="12">
        <v>859.21400000000006</v>
      </c>
      <c r="O100" s="12">
        <v>800.66399999999999</v>
      </c>
    </row>
    <row r="101" spans="1:16" s="11" customFormat="1" x14ac:dyDescent="0.3">
      <c r="A101" s="11" t="s">
        <v>9</v>
      </c>
      <c r="B101" s="11">
        <v>2019</v>
      </c>
      <c r="C101" s="11" t="s">
        <v>10</v>
      </c>
      <c r="D101" s="11">
        <v>83559184</v>
      </c>
      <c r="E101" s="12">
        <v>3886392581475</v>
      </c>
      <c r="F101" s="12">
        <f t="shared" si="1"/>
        <v>46510.65742186999</v>
      </c>
      <c r="G101" s="12">
        <v>708.649</v>
      </c>
      <c r="H101" s="20">
        <v>8.4809999999999999</v>
      </c>
      <c r="I101" s="12">
        <v>3.069</v>
      </c>
      <c r="J101" s="12">
        <v>0.182</v>
      </c>
      <c r="K101" s="12">
        <v>3753.7040000000002</v>
      </c>
      <c r="L101" s="12">
        <v>1.911</v>
      </c>
      <c r="M101" s="12">
        <v>846.40200000000004</v>
      </c>
      <c r="N101" s="12">
        <v>808.00099999999998</v>
      </c>
      <c r="O101" s="12">
        <v>748.86199999999997</v>
      </c>
    </row>
    <row r="102" spans="1:16" s="11" customFormat="1" x14ac:dyDescent="0.3">
      <c r="A102" s="11" t="s">
        <v>9</v>
      </c>
      <c r="B102" s="11">
        <v>2020</v>
      </c>
      <c r="C102" s="11" t="s">
        <v>10</v>
      </c>
      <c r="D102" s="11">
        <v>83628711</v>
      </c>
      <c r="E102" s="12">
        <v>3742721113842</v>
      </c>
      <c r="F102" s="12">
        <f t="shared" si="1"/>
        <v>44754.021305458125</v>
      </c>
      <c r="G102" s="12">
        <v>647.17700000000002</v>
      </c>
      <c r="H102" s="20">
        <v>7.7389999999999999</v>
      </c>
      <c r="I102" s="12">
        <v>3.04</v>
      </c>
      <c r="J102" s="12">
        <v>0.17299999999999999</v>
      </c>
      <c r="K102" s="12">
        <v>3498.915</v>
      </c>
      <c r="L102" s="12">
        <v>1.841</v>
      </c>
      <c r="M102" s="12">
        <v>777.62400000000002</v>
      </c>
      <c r="N102" s="12">
        <v>743.81600000000003</v>
      </c>
      <c r="O102" s="12">
        <v>685.84299999999996</v>
      </c>
    </row>
    <row r="103" spans="1:16" s="11" customFormat="1" x14ac:dyDescent="0.3">
      <c r="A103" s="11" t="s">
        <v>9</v>
      </c>
      <c r="B103" s="11">
        <v>2021</v>
      </c>
      <c r="C103" s="11" t="s">
        <v>10</v>
      </c>
      <c r="D103" s="11">
        <v>83697080</v>
      </c>
      <c r="E103" s="12">
        <v>3841041747482</v>
      </c>
      <c r="F103" s="12">
        <f t="shared" si="1"/>
        <v>45892.183424821989</v>
      </c>
      <c r="G103" s="12">
        <v>677.99800000000005</v>
      </c>
      <c r="H103" s="20">
        <v>8.1010000000000009</v>
      </c>
      <c r="I103" s="12">
        <v>3.0110000000000001</v>
      </c>
      <c r="J103" s="12">
        <v>0.17699999999999999</v>
      </c>
      <c r="K103" s="12">
        <v>3598.4920000000002</v>
      </c>
      <c r="L103" s="12">
        <v>1.839</v>
      </c>
      <c r="M103" s="12">
        <v>834.07399999999996</v>
      </c>
      <c r="N103" s="12">
        <v>774.76300000000003</v>
      </c>
      <c r="O103" s="12">
        <v>717.596</v>
      </c>
    </row>
    <row r="104" spans="1:16" s="11" customFormat="1" x14ac:dyDescent="0.3">
      <c r="A104" s="11" t="s">
        <v>9</v>
      </c>
      <c r="B104" s="11">
        <v>2022</v>
      </c>
      <c r="C104" s="11" t="s">
        <v>10</v>
      </c>
      <c r="D104" s="11">
        <v>84086227</v>
      </c>
      <c r="E104" s="12">
        <v>3909612753939</v>
      </c>
      <c r="F104" s="12">
        <f t="shared" si="1"/>
        <v>46495.281015986126</v>
      </c>
      <c r="G104" s="12">
        <v>667.84299999999996</v>
      </c>
      <c r="H104" s="20">
        <v>7.9420000000000002</v>
      </c>
      <c r="I104" s="12">
        <v>2.9820000000000002</v>
      </c>
      <c r="J104" s="12">
        <v>0.17100000000000001</v>
      </c>
      <c r="K104" s="12">
        <v>3455.45</v>
      </c>
      <c r="L104" s="12">
        <v>1.78</v>
      </c>
      <c r="M104" s="12">
        <v>838.81299999999999</v>
      </c>
      <c r="N104" s="12">
        <v>759.79499999999996</v>
      </c>
      <c r="O104" s="12">
        <v>706.25099999999998</v>
      </c>
    </row>
    <row r="105" spans="1:16" s="11" customFormat="1" x14ac:dyDescent="0.3">
      <c r="A105" s="11" t="s">
        <v>9</v>
      </c>
      <c r="B105" s="11">
        <v>2023</v>
      </c>
      <c r="C105" s="11" t="s">
        <v>10</v>
      </c>
      <c r="D105" s="11">
        <v>84548233</v>
      </c>
      <c r="E105" s="12" t="s">
        <v>66</v>
      </c>
      <c r="F105" s="12" t="s">
        <v>66</v>
      </c>
      <c r="G105" s="12">
        <v>593.76599999999996</v>
      </c>
      <c r="H105" s="20">
        <v>7.0229999999999997</v>
      </c>
      <c r="I105" s="12">
        <v>2.9510000000000001</v>
      </c>
      <c r="J105" s="12" t="s">
        <v>66</v>
      </c>
      <c r="K105" s="12">
        <v>3178.886</v>
      </c>
      <c r="L105" s="12">
        <v>1.5589999999999999</v>
      </c>
      <c r="M105" s="12">
        <v>768.48099999999999</v>
      </c>
      <c r="N105" s="12">
        <v>683.55899999999997</v>
      </c>
      <c r="O105" s="12">
        <v>629.899</v>
      </c>
    </row>
    <row r="106" spans="1:16" s="11" customFormat="1" x14ac:dyDescent="0.3">
      <c r="A106" s="11" t="s">
        <v>9</v>
      </c>
      <c r="B106" s="11">
        <v>2024</v>
      </c>
      <c r="C106" s="11" t="s">
        <v>10</v>
      </c>
      <c r="D106" s="11">
        <v>84552234</v>
      </c>
      <c r="E106" s="12" t="s">
        <v>66</v>
      </c>
      <c r="F106" s="12" t="s">
        <v>66</v>
      </c>
      <c r="G106" s="12">
        <v>572.31899999999996</v>
      </c>
      <c r="H106" s="20">
        <v>6.7690000000000001</v>
      </c>
      <c r="I106" s="12">
        <v>2.9209999999999998</v>
      </c>
      <c r="J106" s="12" t="s">
        <v>66</v>
      </c>
      <c r="K106" s="12">
        <v>3195.4409999999998</v>
      </c>
      <c r="L106" s="12">
        <v>1.4830000000000001</v>
      </c>
      <c r="M106" s="12"/>
      <c r="N106" s="12">
        <v>659.65499999999997</v>
      </c>
      <c r="O106" s="12">
        <v>608.39700000000005</v>
      </c>
    </row>
    <row r="107" spans="1:16" s="13" customFormat="1" x14ac:dyDescent="0.3">
      <c r="A107" s="13" t="s">
        <v>11</v>
      </c>
      <c r="B107" s="13">
        <v>1990</v>
      </c>
      <c r="C107" s="13" t="s">
        <v>12</v>
      </c>
      <c r="D107" s="13">
        <v>864972221</v>
      </c>
      <c r="E107" s="14">
        <v>1750000000000</v>
      </c>
      <c r="F107" s="14">
        <f>E107/D107</f>
        <v>2023.1863608022159</v>
      </c>
      <c r="G107" s="14">
        <v>577.98699999999997</v>
      </c>
      <c r="H107" s="20">
        <v>0.66800000000000004</v>
      </c>
      <c r="I107" s="14">
        <v>3.9510000000000001</v>
      </c>
      <c r="J107" s="14">
        <v>0.33</v>
      </c>
      <c r="K107" s="14">
        <v>2300.701</v>
      </c>
      <c r="L107" s="14">
        <v>2.5430000000000001</v>
      </c>
      <c r="M107" s="14">
        <v>583.35299999999995</v>
      </c>
      <c r="N107" s="14">
        <v>1526.914</v>
      </c>
      <c r="O107" s="14">
        <v>768.94600000000003</v>
      </c>
      <c r="P107" s="14">
        <f>AVERAGE(H107:H141)</f>
        <v>1.2808857142857144</v>
      </c>
    </row>
    <row r="108" spans="1:16" s="13" customFormat="1" x14ac:dyDescent="0.3">
      <c r="A108" s="13" t="s">
        <v>11</v>
      </c>
      <c r="B108" s="13">
        <v>1991</v>
      </c>
      <c r="C108" s="13" t="s">
        <v>12</v>
      </c>
      <c r="D108" s="13">
        <v>883927605</v>
      </c>
      <c r="E108" s="14">
        <v>1770000000000</v>
      </c>
      <c r="F108" s="14">
        <f t="shared" ref="F108:F121" si="4">E108/D108</f>
        <v>2002.4264317438078</v>
      </c>
      <c r="G108" s="14">
        <v>615.38800000000003</v>
      </c>
      <c r="H108" s="20">
        <v>0.69599999999999995</v>
      </c>
      <c r="I108" s="14">
        <v>3.9630000000000001</v>
      </c>
      <c r="J108" s="14">
        <v>0.34799999999999998</v>
      </c>
      <c r="K108" s="14">
        <v>2427.663</v>
      </c>
      <c r="L108" s="14">
        <v>2.6520000000000001</v>
      </c>
      <c r="M108" s="14">
        <v>603.90800000000002</v>
      </c>
      <c r="N108" s="14">
        <v>1561.4269999999999</v>
      </c>
      <c r="O108" s="14">
        <v>811.30200000000002</v>
      </c>
    </row>
    <row r="109" spans="1:16" s="13" customFormat="1" x14ac:dyDescent="0.3">
      <c r="A109" s="13" t="s">
        <v>11</v>
      </c>
      <c r="B109" s="13">
        <v>1992</v>
      </c>
      <c r="C109" s="13" t="s">
        <v>12</v>
      </c>
      <c r="D109" s="13">
        <v>902957075</v>
      </c>
      <c r="E109" s="14">
        <v>1850000000000</v>
      </c>
      <c r="F109" s="14">
        <f t="shared" si="4"/>
        <v>2048.823860203986</v>
      </c>
      <c r="G109" s="14">
        <v>655.42399999999998</v>
      </c>
      <c r="H109" s="20">
        <v>0.72599999999999998</v>
      </c>
      <c r="I109" s="14">
        <v>3.9790000000000001</v>
      </c>
      <c r="J109" s="14">
        <v>0.35399999999999998</v>
      </c>
      <c r="K109" s="14">
        <v>2552.7719999999999</v>
      </c>
      <c r="L109" s="14">
        <v>2.91</v>
      </c>
      <c r="M109" s="14">
        <v>656.83799999999997</v>
      </c>
      <c r="N109" s="14">
        <v>1632.941</v>
      </c>
      <c r="O109" s="14">
        <v>854.53099999999995</v>
      </c>
    </row>
    <row r="110" spans="1:16" s="13" customFormat="1" x14ac:dyDescent="0.3">
      <c r="A110" s="13" t="s">
        <v>11</v>
      </c>
      <c r="B110" s="13">
        <v>1993</v>
      </c>
      <c r="C110" s="13" t="s">
        <v>12</v>
      </c>
      <c r="D110" s="13">
        <v>922118380</v>
      </c>
      <c r="E110" s="14">
        <v>1940000000000</v>
      </c>
      <c r="F110" s="14">
        <f t="shared" si="4"/>
        <v>2103.8513514935034</v>
      </c>
      <c r="G110" s="14">
        <v>677.26199999999994</v>
      </c>
      <c r="H110" s="20">
        <v>0.73399999999999999</v>
      </c>
      <c r="I110" s="14">
        <v>3.9950000000000001</v>
      </c>
      <c r="J110" s="14">
        <v>0.34799999999999998</v>
      </c>
      <c r="K110" s="14">
        <v>2616.248</v>
      </c>
      <c r="L110" s="14">
        <v>2.9769999999999999</v>
      </c>
      <c r="M110" s="14">
        <v>661.06600000000003</v>
      </c>
      <c r="N110" s="14">
        <v>1638.2940000000001</v>
      </c>
      <c r="O110" s="14">
        <v>872.375</v>
      </c>
    </row>
    <row r="111" spans="1:16" s="13" customFormat="1" x14ac:dyDescent="0.3">
      <c r="A111" s="13" t="s">
        <v>11</v>
      </c>
      <c r="B111" s="13">
        <v>1994</v>
      </c>
      <c r="C111" s="13" t="s">
        <v>12</v>
      </c>
      <c r="D111" s="13">
        <v>941163772</v>
      </c>
      <c r="E111" s="14">
        <v>2060000000000</v>
      </c>
      <c r="F111" s="14">
        <f t="shared" si="4"/>
        <v>2188.7795315606345</v>
      </c>
      <c r="G111" s="14">
        <v>714.04300000000001</v>
      </c>
      <c r="H111" s="20">
        <v>0.75900000000000001</v>
      </c>
      <c r="I111" s="14">
        <v>4.01</v>
      </c>
      <c r="J111" s="14">
        <v>0.34699999999999998</v>
      </c>
      <c r="K111" s="14">
        <v>2757.1210000000001</v>
      </c>
      <c r="L111" s="14">
        <v>3.1080000000000001</v>
      </c>
      <c r="M111" s="14">
        <v>692.346</v>
      </c>
      <c r="N111" s="14">
        <v>1675.7919999999999</v>
      </c>
      <c r="O111" s="14">
        <v>912.83399999999995</v>
      </c>
    </row>
    <row r="112" spans="1:16" s="13" customFormat="1" x14ac:dyDescent="0.3">
      <c r="A112" s="13" t="s">
        <v>11</v>
      </c>
      <c r="B112" s="13">
        <v>1995</v>
      </c>
      <c r="C112" s="13" t="s">
        <v>12</v>
      </c>
      <c r="D112" s="13">
        <v>960301046</v>
      </c>
      <c r="E112" s="14">
        <v>2190000000000</v>
      </c>
      <c r="F112" s="14">
        <f t="shared" si="4"/>
        <v>2280.5348480272301</v>
      </c>
      <c r="G112" s="14">
        <v>760.48</v>
      </c>
      <c r="H112" s="20">
        <v>0.79200000000000004</v>
      </c>
      <c r="I112" s="14">
        <v>4.0250000000000004</v>
      </c>
      <c r="J112" s="14">
        <v>0.34699999999999998</v>
      </c>
      <c r="K112" s="14">
        <v>2963.1179999999999</v>
      </c>
      <c r="L112" s="14">
        <v>3.234</v>
      </c>
      <c r="M112" s="14">
        <v>728.63699999999994</v>
      </c>
      <c r="N112" s="14">
        <v>1712.6030000000001</v>
      </c>
      <c r="O112" s="14">
        <v>966.83799999999997</v>
      </c>
    </row>
    <row r="113" spans="1:15" s="13" customFormat="1" x14ac:dyDescent="0.3">
      <c r="A113" s="13" t="s">
        <v>11</v>
      </c>
      <c r="B113" s="13">
        <v>1996</v>
      </c>
      <c r="C113" s="13" t="s">
        <v>12</v>
      </c>
      <c r="D113" s="13">
        <v>979678460</v>
      </c>
      <c r="E113" s="14">
        <v>2350000000000</v>
      </c>
      <c r="F113" s="14">
        <f t="shared" si="4"/>
        <v>2398.746217202734</v>
      </c>
      <c r="G113" s="14">
        <v>823.60199999999998</v>
      </c>
      <c r="H113" s="20">
        <v>0.84099999999999997</v>
      </c>
      <c r="I113" s="14">
        <v>4.0419999999999998</v>
      </c>
      <c r="J113" s="14">
        <v>0.35099999999999998</v>
      </c>
      <c r="K113" s="14">
        <v>3081.6309999999999</v>
      </c>
      <c r="L113" s="14">
        <v>3.399</v>
      </c>
      <c r="M113" s="14">
        <v>773.56799999999998</v>
      </c>
      <c r="N113" s="14">
        <v>1817.6289999999999</v>
      </c>
      <c r="O113" s="14">
        <v>1034.173</v>
      </c>
    </row>
    <row r="114" spans="1:15" s="13" customFormat="1" x14ac:dyDescent="0.3">
      <c r="A114" s="13" t="s">
        <v>11</v>
      </c>
      <c r="B114" s="13">
        <v>1997</v>
      </c>
      <c r="C114" s="13" t="s">
        <v>12</v>
      </c>
      <c r="D114" s="13">
        <v>999133764</v>
      </c>
      <c r="E114" s="14">
        <v>2430000000000</v>
      </c>
      <c r="F114" s="14">
        <f t="shared" si="4"/>
        <v>2432.1067784473353</v>
      </c>
      <c r="G114" s="14">
        <v>857.976</v>
      </c>
      <c r="H114" s="20">
        <v>0.85899999999999999</v>
      </c>
      <c r="I114" s="14">
        <v>4.0570000000000004</v>
      </c>
      <c r="J114" s="14">
        <v>0.35399999999999998</v>
      </c>
      <c r="K114" s="14">
        <v>3252.01</v>
      </c>
      <c r="L114" s="14">
        <v>3.5190000000000001</v>
      </c>
      <c r="M114" s="14">
        <v>802.52</v>
      </c>
      <c r="N114" s="14">
        <v>1831.317</v>
      </c>
      <c r="O114" s="14">
        <v>1075.385</v>
      </c>
    </row>
    <row r="115" spans="1:15" s="13" customFormat="1" x14ac:dyDescent="0.3">
      <c r="A115" s="13" t="s">
        <v>11</v>
      </c>
      <c r="B115" s="13">
        <v>1998</v>
      </c>
      <c r="C115" s="13" t="s">
        <v>12</v>
      </c>
      <c r="D115" s="13">
        <v>1018665080</v>
      </c>
      <c r="E115" s="14">
        <v>2570000000000</v>
      </c>
      <c r="F115" s="14">
        <f t="shared" si="4"/>
        <v>2522.9096888253007</v>
      </c>
      <c r="G115" s="14">
        <v>875.78300000000002</v>
      </c>
      <c r="H115" s="20">
        <v>0.86</v>
      </c>
      <c r="I115" s="14">
        <v>4.0750000000000002</v>
      </c>
      <c r="J115" s="14">
        <v>0.34100000000000003</v>
      </c>
      <c r="K115" s="14">
        <v>3449.4969999999998</v>
      </c>
      <c r="L115" s="14">
        <v>3.605</v>
      </c>
      <c r="M115" s="14">
        <v>814.09199999999998</v>
      </c>
      <c r="N115" s="14">
        <v>1855.8130000000001</v>
      </c>
      <c r="O115" s="14">
        <v>1093.2940000000001</v>
      </c>
    </row>
    <row r="116" spans="1:15" s="13" customFormat="1" x14ac:dyDescent="0.3">
      <c r="A116" s="13" t="s">
        <v>11</v>
      </c>
      <c r="B116" s="13">
        <v>1999</v>
      </c>
      <c r="C116" s="13" t="s">
        <v>12</v>
      </c>
      <c r="D116" s="13">
        <v>1038225822</v>
      </c>
      <c r="E116" s="14">
        <v>2710000000000</v>
      </c>
      <c r="F116" s="14">
        <f t="shared" si="4"/>
        <v>2610.2221140864672</v>
      </c>
      <c r="G116" s="14">
        <v>961.19399999999996</v>
      </c>
      <c r="H116" s="20">
        <v>0.92600000000000005</v>
      </c>
      <c r="I116" s="14">
        <v>4.0960000000000001</v>
      </c>
      <c r="J116" s="14">
        <v>0.35499999999999998</v>
      </c>
      <c r="K116" s="14">
        <v>3546.3629999999998</v>
      </c>
      <c r="L116" s="14">
        <v>3.87</v>
      </c>
      <c r="M116" s="14">
        <v>922.024</v>
      </c>
      <c r="N116" s="14">
        <v>1939.5730000000001</v>
      </c>
      <c r="O116" s="14">
        <v>1183.08</v>
      </c>
    </row>
    <row r="117" spans="1:15" s="13" customFormat="1" x14ac:dyDescent="0.3">
      <c r="A117" s="13" t="s">
        <v>11</v>
      </c>
      <c r="B117" s="13">
        <v>2000</v>
      </c>
      <c r="C117" s="13" t="s">
        <v>12</v>
      </c>
      <c r="D117" s="13">
        <v>1057922731</v>
      </c>
      <c r="E117" s="14">
        <v>2800000000000</v>
      </c>
      <c r="F117" s="14">
        <f t="shared" si="4"/>
        <v>2646.6961319124921</v>
      </c>
      <c r="G117" s="14">
        <v>987.06500000000005</v>
      </c>
      <c r="H117" s="20">
        <v>0.93300000000000005</v>
      </c>
      <c r="I117" s="14">
        <v>4.1159999999999997</v>
      </c>
      <c r="J117" s="14">
        <v>0.35199999999999998</v>
      </c>
      <c r="K117" s="14">
        <v>3725.4009999999998</v>
      </c>
      <c r="L117" s="14">
        <v>3.8690000000000002</v>
      </c>
      <c r="M117" s="14">
        <v>914.37300000000005</v>
      </c>
      <c r="N117" s="14">
        <v>2005.885</v>
      </c>
      <c r="O117" s="14">
        <v>1212.075</v>
      </c>
    </row>
    <row r="118" spans="1:15" s="13" customFormat="1" x14ac:dyDescent="0.3">
      <c r="A118" s="13" t="s">
        <v>11</v>
      </c>
      <c r="B118" s="13">
        <v>2001</v>
      </c>
      <c r="C118" s="13" t="s">
        <v>12</v>
      </c>
      <c r="D118" s="13">
        <v>1077898579</v>
      </c>
      <c r="E118" s="14">
        <v>2940000000000</v>
      </c>
      <c r="F118" s="14">
        <f t="shared" si="4"/>
        <v>2727.5293402163397</v>
      </c>
      <c r="G118" s="14">
        <v>1001.198</v>
      </c>
      <c r="H118" s="20">
        <v>0.92900000000000005</v>
      </c>
      <c r="I118" s="14">
        <v>4.133</v>
      </c>
      <c r="J118" s="14">
        <v>0.34</v>
      </c>
      <c r="K118" s="14">
        <v>3740.8739999999998</v>
      </c>
      <c r="L118" s="14">
        <v>3.8969999999999998</v>
      </c>
      <c r="M118" s="14">
        <v>921.53</v>
      </c>
      <c r="N118" s="14">
        <v>2000.2729999999999</v>
      </c>
      <c r="O118" s="14">
        <v>1228.616</v>
      </c>
    </row>
    <row r="119" spans="1:15" s="13" customFormat="1" x14ac:dyDescent="0.3">
      <c r="A119" s="13" t="s">
        <v>11</v>
      </c>
      <c r="B119" s="13">
        <v>2002</v>
      </c>
      <c r="C119" s="13" t="s">
        <v>12</v>
      </c>
      <c r="D119" s="13">
        <v>1097600380</v>
      </c>
      <c r="E119" s="14">
        <v>3020000000000</v>
      </c>
      <c r="F119" s="14">
        <f t="shared" si="4"/>
        <v>2751.4567733659128</v>
      </c>
      <c r="G119" s="14">
        <v>1032.75</v>
      </c>
      <c r="H119" s="20">
        <v>0.94099999999999995</v>
      </c>
      <c r="I119" s="14">
        <v>4.1470000000000002</v>
      </c>
      <c r="J119" s="14">
        <v>0.34100000000000003</v>
      </c>
      <c r="K119" s="14">
        <v>3870.8090000000002</v>
      </c>
      <c r="L119" s="14">
        <v>3.9319999999999999</v>
      </c>
      <c r="M119" s="14">
        <v>936.87900000000002</v>
      </c>
      <c r="N119" s="14">
        <v>1994.0450000000001</v>
      </c>
      <c r="O119" s="14">
        <v>1263.51</v>
      </c>
    </row>
    <row r="120" spans="1:15" s="13" customFormat="1" x14ac:dyDescent="0.3">
      <c r="A120" s="13" t="s">
        <v>11</v>
      </c>
      <c r="B120" s="13">
        <v>2003</v>
      </c>
      <c r="C120" s="13" t="s">
        <v>12</v>
      </c>
      <c r="D120" s="13">
        <v>1116803000</v>
      </c>
      <c r="E120" s="14">
        <v>3250000000000</v>
      </c>
      <c r="F120" s="14">
        <f t="shared" si="4"/>
        <v>2910.0924693074785</v>
      </c>
      <c r="G120" s="14">
        <v>1068.3979999999999</v>
      </c>
      <c r="H120" s="20">
        <v>0.95699999999999996</v>
      </c>
      <c r="I120" s="14">
        <v>4.1559999999999997</v>
      </c>
      <c r="J120" s="14">
        <v>0.32900000000000001</v>
      </c>
      <c r="K120" s="14">
        <v>4008.71</v>
      </c>
      <c r="L120" s="14">
        <v>3.8639999999999999</v>
      </c>
      <c r="M120" s="14">
        <v>985.41200000000003</v>
      </c>
      <c r="N120" s="14">
        <v>2059.556</v>
      </c>
      <c r="O120" s="14">
        <v>1305.6990000000001</v>
      </c>
    </row>
    <row r="121" spans="1:15" s="13" customFormat="1" x14ac:dyDescent="0.3">
      <c r="A121" s="13" t="s">
        <v>11</v>
      </c>
      <c r="B121" s="13">
        <v>2004</v>
      </c>
      <c r="C121" s="13" t="s">
        <v>12</v>
      </c>
      <c r="D121" s="13">
        <v>1135991509</v>
      </c>
      <c r="E121" s="14">
        <v>3500000000000</v>
      </c>
      <c r="F121" s="14">
        <f t="shared" si="4"/>
        <v>3081.0089444075238</v>
      </c>
      <c r="G121" s="14">
        <v>1134.6110000000001</v>
      </c>
      <c r="H121" s="20">
        <v>0.999</v>
      </c>
      <c r="I121" s="14">
        <v>4.1660000000000004</v>
      </c>
      <c r="J121" s="14">
        <v>0.32500000000000001</v>
      </c>
      <c r="K121" s="14">
        <v>4352.6509999999998</v>
      </c>
      <c r="L121" s="14">
        <v>3.9660000000000002</v>
      </c>
      <c r="M121" s="14">
        <v>1043.316</v>
      </c>
      <c r="N121" s="14">
        <v>2129.2020000000002</v>
      </c>
      <c r="O121" s="14">
        <v>1378.99</v>
      </c>
    </row>
    <row r="122" spans="1:15" s="13" customFormat="1" x14ac:dyDescent="0.3">
      <c r="A122" s="13" t="s">
        <v>11</v>
      </c>
      <c r="B122" s="13">
        <v>2005</v>
      </c>
      <c r="C122" s="13" t="s">
        <v>12</v>
      </c>
      <c r="D122" s="13">
        <v>1154676321</v>
      </c>
      <c r="E122" s="14">
        <v>3752627653422</v>
      </c>
      <c r="F122" s="14">
        <f t="shared" si="1"/>
        <v>3249.9390393422641</v>
      </c>
      <c r="G122" s="14">
        <v>1195.393</v>
      </c>
      <c r="H122" s="20">
        <v>1.0349999999999999</v>
      </c>
      <c r="I122" s="14">
        <v>4.1790000000000003</v>
      </c>
      <c r="J122" s="14">
        <v>0.31900000000000001</v>
      </c>
      <c r="K122" s="14">
        <v>4608.4170000000004</v>
      </c>
      <c r="L122" s="14">
        <v>4.0389999999999997</v>
      </c>
      <c r="M122" s="14">
        <v>1104.519</v>
      </c>
      <c r="N122" s="14">
        <v>2205.413</v>
      </c>
      <c r="O122" s="14">
        <v>1445.2619999999999</v>
      </c>
    </row>
    <row r="123" spans="1:15" s="13" customFormat="1" x14ac:dyDescent="0.3">
      <c r="A123" s="13" t="s">
        <v>11</v>
      </c>
      <c r="B123" s="13">
        <v>2006</v>
      </c>
      <c r="C123" s="13" t="s">
        <v>12</v>
      </c>
      <c r="D123" s="13">
        <v>1172878888</v>
      </c>
      <c r="E123" s="14">
        <v>4069856052453</v>
      </c>
      <c r="F123" s="14">
        <f t="shared" si="1"/>
        <v>3469.9712767385067</v>
      </c>
      <c r="G123" s="14">
        <v>1293.3209999999999</v>
      </c>
      <c r="H123" s="20">
        <v>1.103</v>
      </c>
      <c r="I123" s="14">
        <v>4.1929999999999996</v>
      </c>
      <c r="J123" s="14">
        <v>0.318</v>
      </c>
      <c r="K123" s="14">
        <v>4854.8670000000002</v>
      </c>
      <c r="L123" s="14">
        <v>4.2270000000000003</v>
      </c>
      <c r="M123" s="14">
        <v>1172.595</v>
      </c>
      <c r="N123" s="14">
        <v>2324.5940000000001</v>
      </c>
      <c r="O123" s="14">
        <v>1549.979</v>
      </c>
    </row>
    <row r="124" spans="1:15" s="13" customFormat="1" x14ac:dyDescent="0.3">
      <c r="A124" s="13" t="s">
        <v>11</v>
      </c>
      <c r="B124" s="13">
        <v>2007</v>
      </c>
      <c r="C124" s="13" t="s">
        <v>12</v>
      </c>
      <c r="D124" s="13">
        <v>1190676028</v>
      </c>
      <c r="E124" s="14">
        <v>4403215224414</v>
      </c>
      <c r="F124" s="14">
        <f t="shared" si="1"/>
        <v>3698.0800157790695</v>
      </c>
      <c r="G124" s="14">
        <v>1393.4849999999999</v>
      </c>
      <c r="H124" s="20">
        <v>1.17</v>
      </c>
      <c r="I124" s="14">
        <v>4.2130000000000001</v>
      </c>
      <c r="J124" s="14">
        <v>0.316</v>
      </c>
      <c r="K124" s="14">
        <v>5268.96</v>
      </c>
      <c r="L124" s="14">
        <v>4.4240000000000004</v>
      </c>
      <c r="M124" s="14">
        <v>1291.0920000000001</v>
      </c>
      <c r="N124" s="14">
        <v>2485.674</v>
      </c>
      <c r="O124" s="14">
        <v>1660.1120000000001</v>
      </c>
    </row>
    <row r="125" spans="1:15" s="13" customFormat="1" x14ac:dyDescent="0.3">
      <c r="A125" s="13" t="s">
        <v>11</v>
      </c>
      <c r="B125" s="13">
        <v>2008</v>
      </c>
      <c r="C125" s="13" t="s">
        <v>12</v>
      </c>
      <c r="D125" s="13">
        <v>1207930960</v>
      </c>
      <c r="E125" s="14">
        <v>4649548164533</v>
      </c>
      <c r="F125" s="14">
        <f t="shared" si="1"/>
        <v>3849.1837021322808</v>
      </c>
      <c r="G125" s="14">
        <v>1490.366</v>
      </c>
      <c r="H125" s="20">
        <v>1.234</v>
      </c>
      <c r="I125" s="14">
        <v>4.234</v>
      </c>
      <c r="J125" s="14">
        <v>0.32100000000000001</v>
      </c>
      <c r="K125" s="14">
        <v>5576.5290000000005</v>
      </c>
      <c r="L125" s="14">
        <v>4.6500000000000004</v>
      </c>
      <c r="M125" s="14">
        <v>1372.7950000000001</v>
      </c>
      <c r="N125" s="14">
        <v>2641.3310000000001</v>
      </c>
      <c r="O125" s="14">
        <v>1768.2819999999999</v>
      </c>
    </row>
    <row r="126" spans="1:15" s="13" customFormat="1" x14ac:dyDescent="0.3">
      <c r="A126" s="13" t="s">
        <v>11</v>
      </c>
      <c r="B126" s="13">
        <v>2009</v>
      </c>
      <c r="C126" s="13" t="s">
        <v>12</v>
      </c>
      <c r="D126" s="13">
        <v>1225524764</v>
      </c>
      <c r="E126" s="14">
        <v>4993478894185</v>
      </c>
      <c r="F126" s="14">
        <f t="shared" si="1"/>
        <v>4074.5638447049773</v>
      </c>
      <c r="G126" s="14">
        <v>1613.328</v>
      </c>
      <c r="H126" s="20">
        <v>1.3160000000000001</v>
      </c>
      <c r="I126" s="14">
        <v>4.2569999999999997</v>
      </c>
      <c r="J126" s="14">
        <v>0.32300000000000001</v>
      </c>
      <c r="K126" s="14">
        <v>5988.39</v>
      </c>
      <c r="L126" s="14">
        <v>5.12</v>
      </c>
      <c r="M126" s="14">
        <v>1521.6849999999999</v>
      </c>
      <c r="N126" s="14">
        <v>2738.05</v>
      </c>
      <c r="O126" s="14">
        <v>1903.1489999999999</v>
      </c>
    </row>
    <row r="127" spans="1:15" s="13" customFormat="1" x14ac:dyDescent="0.3">
      <c r="A127" s="13" t="s">
        <v>11</v>
      </c>
      <c r="B127" s="13">
        <v>2010</v>
      </c>
      <c r="C127" s="13" t="s">
        <v>12</v>
      </c>
      <c r="D127" s="13">
        <v>1243481565</v>
      </c>
      <c r="E127" s="14">
        <v>5361371354007</v>
      </c>
      <c r="F127" s="14">
        <f t="shared" ref="F127:F174" si="5">E127/D127</f>
        <v>4311.5808910339574</v>
      </c>
      <c r="G127" s="14">
        <v>1678.53</v>
      </c>
      <c r="H127" s="20">
        <v>1.35</v>
      </c>
      <c r="I127" s="14">
        <v>4.2839999999999998</v>
      </c>
      <c r="J127" s="14">
        <v>0.313</v>
      </c>
      <c r="K127" s="14">
        <v>6247.89</v>
      </c>
      <c r="L127" s="14">
        <v>5.0380000000000003</v>
      </c>
      <c r="M127" s="14">
        <v>1571.107</v>
      </c>
      <c r="N127" s="14">
        <v>2848.1309999999999</v>
      </c>
      <c r="O127" s="14">
        <v>1973.835</v>
      </c>
    </row>
    <row r="128" spans="1:15" s="13" customFormat="1" x14ac:dyDescent="0.3">
      <c r="A128" s="13" t="s">
        <v>11</v>
      </c>
      <c r="B128" s="13">
        <v>2011</v>
      </c>
      <c r="C128" s="13" t="s">
        <v>12</v>
      </c>
      <c r="D128" s="13">
        <v>1261224956</v>
      </c>
      <c r="E128" s="14">
        <v>5720692888000</v>
      </c>
      <c r="F128" s="14">
        <f t="shared" si="5"/>
        <v>4535.8227814832426</v>
      </c>
      <c r="G128" s="14">
        <v>1765.6949999999999</v>
      </c>
      <c r="H128" s="20">
        <v>1.4</v>
      </c>
      <c r="I128" s="14">
        <v>4.3109999999999999</v>
      </c>
      <c r="J128" s="14">
        <v>0.309</v>
      </c>
      <c r="K128" s="14">
        <v>6587.01</v>
      </c>
      <c r="L128" s="14">
        <v>5.1210000000000004</v>
      </c>
      <c r="M128" s="14">
        <v>1624.1980000000001</v>
      </c>
      <c r="N128" s="14">
        <v>2950.3429999999998</v>
      </c>
      <c r="O128" s="14">
        <v>2072.2869999999998</v>
      </c>
    </row>
    <row r="129" spans="1:16" s="13" customFormat="1" x14ac:dyDescent="0.3">
      <c r="A129" s="13" t="s">
        <v>11</v>
      </c>
      <c r="B129" s="13">
        <v>2012</v>
      </c>
      <c r="C129" s="13" t="s">
        <v>12</v>
      </c>
      <c r="D129" s="13">
        <v>1278674501</v>
      </c>
      <c r="E129" s="14">
        <v>6052427493607</v>
      </c>
      <c r="F129" s="14">
        <f t="shared" si="5"/>
        <v>4733.3605924522926</v>
      </c>
      <c r="G129" s="14">
        <v>1926.9860000000001</v>
      </c>
      <c r="H129" s="20">
        <v>1.5069999999999999</v>
      </c>
      <c r="I129" s="14">
        <v>4.343</v>
      </c>
      <c r="J129" s="14">
        <v>0.318</v>
      </c>
      <c r="K129" s="14">
        <v>6937.768</v>
      </c>
      <c r="L129" s="14">
        <v>5.5129999999999999</v>
      </c>
      <c r="M129" s="14">
        <v>1782.077</v>
      </c>
      <c r="N129" s="14">
        <v>3164.01</v>
      </c>
      <c r="O129" s="14">
        <v>2245.1579999999999</v>
      </c>
    </row>
    <row r="130" spans="1:16" s="13" customFormat="1" x14ac:dyDescent="0.3">
      <c r="A130" s="13" t="s">
        <v>11</v>
      </c>
      <c r="B130" s="13">
        <v>2013</v>
      </c>
      <c r="C130" s="13" t="s">
        <v>12</v>
      </c>
      <c r="D130" s="13">
        <v>1295829507</v>
      </c>
      <c r="E130" s="14">
        <v>6424470752490</v>
      </c>
      <c r="F130" s="14">
        <f t="shared" si="5"/>
        <v>4957.8055737929726</v>
      </c>
      <c r="G130" s="14">
        <v>1995.337</v>
      </c>
      <c r="H130" s="20">
        <v>1.54</v>
      </c>
      <c r="I130" s="14">
        <v>4.3689999999999998</v>
      </c>
      <c r="J130" s="14">
        <v>0.311</v>
      </c>
      <c r="K130" s="14">
        <v>7163.0619999999999</v>
      </c>
      <c r="L130" s="14">
        <v>5.6559999999999997</v>
      </c>
      <c r="M130" s="14">
        <v>1637.855</v>
      </c>
      <c r="N130" s="14">
        <v>3124.7719999999999</v>
      </c>
      <c r="O130" s="14">
        <v>2286.2550000000001</v>
      </c>
    </row>
    <row r="131" spans="1:16" s="13" customFormat="1" x14ac:dyDescent="0.3">
      <c r="A131" s="13" t="s">
        <v>11</v>
      </c>
      <c r="B131" s="13">
        <v>2014</v>
      </c>
      <c r="C131" s="13" t="s">
        <v>12</v>
      </c>
      <c r="D131" s="13">
        <v>1312277184</v>
      </c>
      <c r="E131" s="14">
        <v>6875186158349</v>
      </c>
      <c r="F131" s="14">
        <f t="shared" si="5"/>
        <v>5239.1264910912296</v>
      </c>
      <c r="G131" s="14">
        <v>2148.0520000000001</v>
      </c>
      <c r="H131" s="20">
        <v>1.637</v>
      </c>
      <c r="I131" s="14">
        <v>4.3970000000000002</v>
      </c>
      <c r="J131" s="14">
        <v>0.312</v>
      </c>
      <c r="K131" s="14">
        <v>7652.732</v>
      </c>
      <c r="L131" s="14">
        <v>6.0570000000000004</v>
      </c>
      <c r="M131" s="14">
        <v>1810.893</v>
      </c>
      <c r="N131" s="14">
        <v>3216.8670000000002</v>
      </c>
      <c r="O131" s="14">
        <v>2449.3020000000001</v>
      </c>
    </row>
    <row r="132" spans="1:16" s="13" customFormat="1" x14ac:dyDescent="0.3">
      <c r="A132" s="13" t="s">
        <v>11</v>
      </c>
      <c r="B132" s="13">
        <v>2015</v>
      </c>
      <c r="C132" s="13" t="s">
        <v>12</v>
      </c>
      <c r="D132" s="13">
        <v>1328024494</v>
      </c>
      <c r="E132" s="14">
        <v>7391521519812</v>
      </c>
      <c r="F132" s="14">
        <f t="shared" si="5"/>
        <v>5565.8021016982839</v>
      </c>
      <c r="G132" s="14">
        <v>2231.817</v>
      </c>
      <c r="H132" s="20">
        <v>1.681</v>
      </c>
      <c r="I132" s="14">
        <v>4.4269999999999996</v>
      </c>
      <c r="J132" s="14">
        <v>0.30199999999999999</v>
      </c>
      <c r="K132" s="14">
        <v>7892.49</v>
      </c>
      <c r="L132" s="14">
        <v>6.3040000000000003</v>
      </c>
      <c r="M132" s="14">
        <v>1961.0519999999999</v>
      </c>
      <c r="N132" s="14">
        <v>3290.4229999999998</v>
      </c>
      <c r="O132" s="14">
        <v>2539.29</v>
      </c>
    </row>
    <row r="133" spans="1:16" s="13" customFormat="1" x14ac:dyDescent="0.3">
      <c r="A133" s="13" t="s">
        <v>11</v>
      </c>
      <c r="B133" s="13">
        <v>2016</v>
      </c>
      <c r="C133" s="13" t="s">
        <v>12</v>
      </c>
      <c r="D133" s="13">
        <v>1343944296</v>
      </c>
      <c r="E133" s="14">
        <v>8057465593010</v>
      </c>
      <c r="F133" s="14">
        <f t="shared" si="5"/>
        <v>5995.3865773987409</v>
      </c>
      <c r="G133" s="14">
        <v>2352.54</v>
      </c>
      <c r="H133" s="20">
        <v>1.75</v>
      </c>
      <c r="I133" s="14">
        <v>4.46</v>
      </c>
      <c r="J133" s="14">
        <v>0.29199999999999998</v>
      </c>
      <c r="K133" s="14">
        <v>8262.8559999999998</v>
      </c>
      <c r="L133" s="14">
        <v>6.6470000000000002</v>
      </c>
      <c r="M133" s="14">
        <v>2002.07</v>
      </c>
      <c r="N133" s="14">
        <v>3365.011</v>
      </c>
      <c r="O133" s="14">
        <v>2663.6379999999999</v>
      </c>
    </row>
    <row r="134" spans="1:16" s="13" customFormat="1" x14ac:dyDescent="0.3">
      <c r="A134" s="13" t="s">
        <v>11</v>
      </c>
      <c r="B134" s="13">
        <v>2017</v>
      </c>
      <c r="C134" s="13" t="s">
        <v>12</v>
      </c>
      <c r="D134" s="13">
        <v>1359657398</v>
      </c>
      <c r="E134" s="14">
        <v>8550029645172</v>
      </c>
      <c r="F134" s="14">
        <f t="shared" si="5"/>
        <v>6288.3706275924669</v>
      </c>
      <c r="G134" s="14">
        <v>2425.7220000000002</v>
      </c>
      <c r="H134" s="20">
        <v>1.784</v>
      </c>
      <c r="I134" s="14">
        <v>4.4909999999999997</v>
      </c>
      <c r="J134" s="14">
        <v>0.28399999999999997</v>
      </c>
      <c r="K134" s="14">
        <v>8571.6710000000003</v>
      </c>
      <c r="L134" s="14">
        <v>6.7430000000000003</v>
      </c>
      <c r="M134" s="14">
        <v>2112.1950000000002</v>
      </c>
      <c r="N134" s="14">
        <v>3415.989</v>
      </c>
      <c r="O134" s="14">
        <v>2741.299</v>
      </c>
    </row>
    <row r="135" spans="1:16" s="13" customFormat="1" x14ac:dyDescent="0.3">
      <c r="A135" s="13" t="s">
        <v>11</v>
      </c>
      <c r="B135" s="13">
        <v>2018</v>
      </c>
      <c r="C135" s="13" t="s">
        <v>12</v>
      </c>
      <c r="D135" s="13">
        <v>1374659067</v>
      </c>
      <c r="E135" s="14">
        <v>9173201683791</v>
      </c>
      <c r="F135" s="14">
        <f t="shared" si="5"/>
        <v>6673.074003585647</v>
      </c>
      <c r="G135" s="14">
        <v>2595.2269999999999</v>
      </c>
      <c r="H135" s="20">
        <v>1.8879999999999999</v>
      </c>
      <c r="I135" s="14">
        <v>4.5270000000000001</v>
      </c>
      <c r="J135" s="14">
        <v>0.28299999999999997</v>
      </c>
      <c r="K135" s="14">
        <v>9063.36</v>
      </c>
      <c r="L135" s="14">
        <v>7.0650000000000004</v>
      </c>
      <c r="M135" s="14">
        <v>2239.0630000000001</v>
      </c>
      <c r="N135" s="14">
        <v>3616.201</v>
      </c>
      <c r="O135" s="14">
        <v>2923.1729999999998</v>
      </c>
    </row>
    <row r="136" spans="1:16" s="13" customFormat="1" x14ac:dyDescent="0.3">
      <c r="A136" s="13" t="s">
        <v>11</v>
      </c>
      <c r="B136" s="13">
        <v>2019</v>
      </c>
      <c r="C136" s="13" t="s">
        <v>12</v>
      </c>
      <c r="D136" s="13">
        <v>1389030307</v>
      </c>
      <c r="E136" s="14">
        <v>9595463242427</v>
      </c>
      <c r="F136" s="14">
        <f t="shared" si="5"/>
        <v>6908.030151733039</v>
      </c>
      <c r="G136" s="14">
        <v>2611.1750000000002</v>
      </c>
      <c r="H136" s="20">
        <v>1.88</v>
      </c>
      <c r="I136" s="14">
        <v>4.5599999999999996</v>
      </c>
      <c r="J136" s="14">
        <v>0.27200000000000002</v>
      </c>
      <c r="K136" s="14">
        <v>9281.5949999999993</v>
      </c>
      <c r="L136" s="14">
        <v>7.0410000000000004</v>
      </c>
      <c r="M136" s="14">
        <v>2267.2930000000001</v>
      </c>
      <c r="N136" s="14">
        <v>3613.0010000000002</v>
      </c>
      <c r="O136" s="14">
        <v>2937.4949999999999</v>
      </c>
    </row>
    <row r="137" spans="1:16" s="13" customFormat="1" x14ac:dyDescent="0.3">
      <c r="A137" s="13" t="s">
        <v>11</v>
      </c>
      <c r="B137" s="13">
        <v>2020</v>
      </c>
      <c r="C137" s="13" t="s">
        <v>12</v>
      </c>
      <c r="D137" s="13">
        <v>1402617694</v>
      </c>
      <c r="E137" s="14">
        <v>8945313249462</v>
      </c>
      <c r="F137" s="14">
        <f t="shared" si="5"/>
        <v>6377.5847743312443</v>
      </c>
      <c r="G137" s="14">
        <v>2422.732</v>
      </c>
      <c r="H137" s="20">
        <v>1.7270000000000001</v>
      </c>
      <c r="I137" s="14">
        <v>4.5910000000000002</v>
      </c>
      <c r="J137" s="14">
        <v>0.27100000000000002</v>
      </c>
      <c r="K137" s="14">
        <v>8792.2199999999993</v>
      </c>
      <c r="L137" s="14">
        <v>6.891</v>
      </c>
      <c r="M137" s="14">
        <v>2085.1320000000001</v>
      </c>
      <c r="N137" s="14">
        <v>3436.4290000000001</v>
      </c>
      <c r="O137" s="14">
        <v>2742.09</v>
      </c>
    </row>
    <row r="138" spans="1:16" s="13" customFormat="1" x14ac:dyDescent="0.3">
      <c r="A138" s="13" t="s">
        <v>11</v>
      </c>
      <c r="B138" s="13">
        <v>2021</v>
      </c>
      <c r="C138" s="13" t="s">
        <v>12</v>
      </c>
      <c r="D138" s="13">
        <v>1414203896</v>
      </c>
      <c r="E138" s="14">
        <v>9801621018003</v>
      </c>
      <c r="F138" s="14">
        <f t="shared" si="5"/>
        <v>6930.8400618371652</v>
      </c>
      <c r="G138" s="14">
        <v>2675.7779999999998</v>
      </c>
      <c r="H138" s="20">
        <v>1.8919999999999999</v>
      </c>
      <c r="I138" s="14">
        <v>4.6260000000000003</v>
      </c>
      <c r="J138" s="14">
        <v>0.27300000000000002</v>
      </c>
      <c r="K138" s="14">
        <v>9544.9689999999991</v>
      </c>
      <c r="L138" s="14">
        <v>7.258</v>
      </c>
      <c r="M138" s="14">
        <v>2252.029</v>
      </c>
      <c r="N138" s="14">
        <v>3697.6149999999998</v>
      </c>
      <c r="O138" s="14">
        <v>3013.5459999999998</v>
      </c>
    </row>
    <row r="139" spans="1:16" s="13" customFormat="1" x14ac:dyDescent="0.3">
      <c r="A139" s="13" t="s">
        <v>11</v>
      </c>
      <c r="B139" s="13">
        <v>2022</v>
      </c>
      <c r="C139" s="13" t="s">
        <v>12</v>
      </c>
      <c r="D139" s="13">
        <v>1425423209</v>
      </c>
      <c r="E139" s="14">
        <v>10476248645535</v>
      </c>
      <c r="F139" s="14">
        <f t="shared" si="5"/>
        <v>7349.5706954880934</v>
      </c>
      <c r="G139" s="14">
        <v>2831.1320000000001</v>
      </c>
      <c r="H139" s="20">
        <v>1.986</v>
      </c>
      <c r="I139" s="14">
        <v>4.6639999999999997</v>
      </c>
      <c r="J139" s="14">
        <v>0.27</v>
      </c>
      <c r="K139" s="14">
        <v>10059.477999999999</v>
      </c>
      <c r="L139" s="14">
        <v>7.5439999999999996</v>
      </c>
      <c r="M139" s="14">
        <v>2339.991</v>
      </c>
      <c r="N139" s="14">
        <v>3869.9949999999999</v>
      </c>
      <c r="O139" s="14">
        <v>3185.2759999999998</v>
      </c>
    </row>
    <row r="140" spans="1:16" s="13" customFormat="1" x14ac:dyDescent="0.3">
      <c r="A140" s="13" t="s">
        <v>11</v>
      </c>
      <c r="B140" s="13">
        <v>2023</v>
      </c>
      <c r="C140" s="13" t="s">
        <v>12</v>
      </c>
      <c r="D140" s="13">
        <v>1438069597</v>
      </c>
      <c r="E140" s="14" t="s">
        <v>66</v>
      </c>
      <c r="F140" s="14" t="s">
        <v>66</v>
      </c>
      <c r="G140" s="14">
        <v>3062.7559999999999</v>
      </c>
      <c r="H140" s="20">
        <v>2.13</v>
      </c>
      <c r="I140" s="14">
        <v>4.7080000000000002</v>
      </c>
      <c r="J140" s="14" t="s">
        <v>66</v>
      </c>
      <c r="K140" s="14">
        <v>10827.859</v>
      </c>
      <c r="L140" s="14">
        <v>8.0399999999999991</v>
      </c>
      <c r="M140" s="14">
        <v>2543.2150000000001</v>
      </c>
      <c r="N140" s="14">
        <v>4121.424</v>
      </c>
      <c r="O140" s="14">
        <v>3431.9679999999998</v>
      </c>
    </row>
    <row r="141" spans="1:16" s="13" customFormat="1" x14ac:dyDescent="0.3">
      <c r="A141" s="13" t="s">
        <v>11</v>
      </c>
      <c r="B141" s="13">
        <v>2024</v>
      </c>
      <c r="C141" s="13" t="s">
        <v>12</v>
      </c>
      <c r="D141" s="13">
        <v>1450935785</v>
      </c>
      <c r="E141" s="14" t="s">
        <v>66</v>
      </c>
      <c r="F141" s="14" t="s">
        <v>66</v>
      </c>
      <c r="G141" s="14">
        <v>3193.4780000000001</v>
      </c>
      <c r="H141" s="20">
        <v>2.2010000000000001</v>
      </c>
      <c r="I141" s="14">
        <v>4.7539999999999996</v>
      </c>
      <c r="J141" s="14" t="s">
        <v>66</v>
      </c>
      <c r="K141" s="14">
        <v>11336.057000000001</v>
      </c>
      <c r="L141" s="14">
        <v>8.2739999999999991</v>
      </c>
      <c r="M141" s="14"/>
      <c r="N141" s="14">
        <v>4262.4110000000001</v>
      </c>
      <c r="O141" s="14">
        <v>3571.002</v>
      </c>
    </row>
    <row r="142" spans="1:16" s="15" customFormat="1" x14ac:dyDescent="0.3">
      <c r="A142" s="15" t="s">
        <v>13</v>
      </c>
      <c r="B142" s="15">
        <v>1990</v>
      </c>
      <c r="C142" s="15" t="s">
        <v>14</v>
      </c>
      <c r="D142" s="15">
        <v>253373387</v>
      </c>
      <c r="E142" s="16">
        <v>9250000000000</v>
      </c>
      <c r="F142" s="16">
        <f>E142/D142</f>
        <v>36507.385836855865</v>
      </c>
      <c r="G142" s="16">
        <v>5131.7610000000004</v>
      </c>
      <c r="H142" s="20">
        <v>20.254000000000001</v>
      </c>
      <c r="I142" s="16">
        <v>21.126000000000001</v>
      </c>
      <c r="J142" s="16">
        <v>0.55500000000000005</v>
      </c>
      <c r="K142" s="16">
        <v>22609.195</v>
      </c>
      <c r="L142" s="16">
        <v>22.574999999999999</v>
      </c>
      <c r="M142" s="16">
        <v>5051.34</v>
      </c>
      <c r="N142" s="16">
        <v>6489.2879999999996</v>
      </c>
      <c r="O142" s="16">
        <v>5886.5529999999999</v>
      </c>
      <c r="P142" s="16">
        <f>AVERAGE(H142:H176)</f>
        <v>18.422257142857145</v>
      </c>
    </row>
    <row r="143" spans="1:16" s="15" customFormat="1" x14ac:dyDescent="0.3">
      <c r="A143" s="15" t="s">
        <v>13</v>
      </c>
      <c r="B143" s="15">
        <v>1991</v>
      </c>
      <c r="C143" s="15" t="s">
        <v>14</v>
      </c>
      <c r="D143" s="15">
        <v>256471424</v>
      </c>
      <c r="E143" s="16">
        <v>9220000000000</v>
      </c>
      <c r="F143" s="16">
        <f t="shared" ref="F143:F156" si="6">E143/D143</f>
        <v>35949.424135454559</v>
      </c>
      <c r="G143" s="16">
        <v>5076.4129999999996</v>
      </c>
      <c r="H143" s="20">
        <v>19.792999999999999</v>
      </c>
      <c r="I143" s="16">
        <v>21.018999999999998</v>
      </c>
      <c r="J143" s="16">
        <v>0.55000000000000004</v>
      </c>
      <c r="K143" s="16">
        <v>22579.719000000001</v>
      </c>
      <c r="L143" s="16">
        <v>21.876000000000001</v>
      </c>
      <c r="M143" s="16">
        <v>4974.38</v>
      </c>
      <c r="N143" s="16">
        <v>6393.4639999999999</v>
      </c>
      <c r="O143" s="16">
        <v>5823.643</v>
      </c>
    </row>
    <row r="144" spans="1:16" s="15" customFormat="1" x14ac:dyDescent="0.3">
      <c r="A144" s="15" t="s">
        <v>13</v>
      </c>
      <c r="B144" s="15">
        <v>1992</v>
      </c>
      <c r="C144" s="15" t="s">
        <v>14</v>
      </c>
      <c r="D144" s="15">
        <v>259606021</v>
      </c>
      <c r="E144" s="16">
        <v>9550000000000</v>
      </c>
      <c r="F144" s="16">
        <f t="shared" si="6"/>
        <v>36786.511973849789</v>
      </c>
      <c r="G144" s="16">
        <v>5178.7700000000004</v>
      </c>
      <c r="H144" s="20">
        <v>19.949000000000002</v>
      </c>
      <c r="I144" s="16">
        <v>20.925000000000001</v>
      </c>
      <c r="J144" s="16">
        <v>0.54200000000000004</v>
      </c>
      <c r="K144" s="16">
        <v>22913.111000000001</v>
      </c>
      <c r="L144" s="16">
        <v>22.995999999999999</v>
      </c>
      <c r="M144" s="16">
        <v>5187.5379999999996</v>
      </c>
      <c r="N144" s="16">
        <v>6464.0209999999997</v>
      </c>
      <c r="O144" s="16">
        <v>5929.3289999999997</v>
      </c>
    </row>
    <row r="145" spans="1:15" s="15" customFormat="1" x14ac:dyDescent="0.3">
      <c r="A145" s="15" t="s">
        <v>13</v>
      </c>
      <c r="B145" s="15">
        <v>1993</v>
      </c>
      <c r="C145" s="15" t="s">
        <v>14</v>
      </c>
      <c r="D145" s="15">
        <v>262633229</v>
      </c>
      <c r="E145" s="16">
        <v>9810000000000</v>
      </c>
      <c r="F145" s="16">
        <f t="shared" si="6"/>
        <v>37352.470734006012</v>
      </c>
      <c r="G145" s="16">
        <v>5279.52</v>
      </c>
      <c r="H145" s="20">
        <v>20.102</v>
      </c>
      <c r="I145" s="16">
        <v>20.844000000000001</v>
      </c>
      <c r="J145" s="16">
        <v>0.53800000000000003</v>
      </c>
      <c r="K145" s="16">
        <v>23396.386999999999</v>
      </c>
      <c r="L145" s="16">
        <v>23.207000000000001</v>
      </c>
      <c r="M145" s="16">
        <v>5227.0860000000002</v>
      </c>
      <c r="N145" s="16">
        <v>6552.8</v>
      </c>
      <c r="O145" s="16">
        <v>6031.4170000000004</v>
      </c>
    </row>
    <row r="146" spans="1:15" s="15" customFormat="1" x14ac:dyDescent="0.3">
      <c r="A146" s="15" t="s">
        <v>13</v>
      </c>
      <c r="B146" s="15">
        <v>1994</v>
      </c>
      <c r="C146" s="15" t="s">
        <v>14</v>
      </c>
      <c r="D146" s="15">
        <v>265474811</v>
      </c>
      <c r="E146" s="16">
        <v>10200000000000</v>
      </c>
      <c r="F146" s="16">
        <f t="shared" si="6"/>
        <v>38421.724311915983</v>
      </c>
      <c r="G146" s="16">
        <v>5361.8630000000003</v>
      </c>
      <c r="H146" s="20">
        <v>20.196999999999999</v>
      </c>
      <c r="I146" s="16">
        <v>20.76</v>
      </c>
      <c r="J146" s="16">
        <v>0.52500000000000002</v>
      </c>
      <c r="K146" s="16">
        <v>23824.131000000001</v>
      </c>
      <c r="L146" s="16">
        <v>23.338000000000001</v>
      </c>
      <c r="M146" s="16">
        <v>5322.4759999999997</v>
      </c>
      <c r="N146" s="16">
        <v>6686.3320000000003</v>
      </c>
      <c r="O146" s="16">
        <v>6118.6629999999996</v>
      </c>
    </row>
    <row r="147" spans="1:15" s="15" customFormat="1" x14ac:dyDescent="0.3">
      <c r="A147" s="15" t="s">
        <v>13</v>
      </c>
      <c r="B147" s="15">
        <v>1995</v>
      </c>
      <c r="C147" s="15" t="s">
        <v>14</v>
      </c>
      <c r="D147" s="15">
        <v>268205796</v>
      </c>
      <c r="E147" s="16">
        <v>10500000000000</v>
      </c>
      <c r="F147" s="16">
        <f t="shared" si="6"/>
        <v>39149.042103474902</v>
      </c>
      <c r="G147" s="16">
        <v>5425.8370000000004</v>
      </c>
      <c r="H147" s="20">
        <v>20.23</v>
      </c>
      <c r="I147" s="16">
        <v>20.672000000000001</v>
      </c>
      <c r="J147" s="16">
        <v>0.51700000000000002</v>
      </c>
      <c r="K147" s="16">
        <v>24343.418000000001</v>
      </c>
      <c r="L147" s="16">
        <v>23.071999999999999</v>
      </c>
      <c r="M147" s="16">
        <v>5386.56</v>
      </c>
      <c r="N147" s="16">
        <v>6642.1419999999998</v>
      </c>
      <c r="O147" s="16">
        <v>6167.5410000000002</v>
      </c>
    </row>
    <row r="148" spans="1:15" s="15" customFormat="1" x14ac:dyDescent="0.3">
      <c r="A148" s="15" t="s">
        <v>13</v>
      </c>
      <c r="B148" s="15">
        <v>1996</v>
      </c>
      <c r="C148" s="15" t="s">
        <v>14</v>
      </c>
      <c r="D148" s="15">
        <v>270860695</v>
      </c>
      <c r="E148" s="16">
        <v>10900000000000</v>
      </c>
      <c r="F148" s="16">
        <f t="shared" si="6"/>
        <v>40242.088280841192</v>
      </c>
      <c r="G148" s="16">
        <v>5601.0940000000001</v>
      </c>
      <c r="H148" s="20">
        <v>20.678999999999998</v>
      </c>
      <c r="I148" s="16">
        <v>20.585999999999999</v>
      </c>
      <c r="J148" s="16">
        <v>0.51400000000000001</v>
      </c>
      <c r="K148" s="16">
        <v>25165.373</v>
      </c>
      <c r="L148" s="16">
        <v>23.113</v>
      </c>
      <c r="M148" s="16">
        <v>5545.2060000000001</v>
      </c>
      <c r="N148" s="16">
        <v>6806.6760000000004</v>
      </c>
      <c r="O148" s="16">
        <v>6339.518</v>
      </c>
    </row>
    <row r="149" spans="1:15" s="15" customFormat="1" x14ac:dyDescent="0.3">
      <c r="A149" s="15" t="s">
        <v>13</v>
      </c>
      <c r="B149" s="15">
        <v>1997</v>
      </c>
      <c r="C149" s="15" t="s">
        <v>14</v>
      </c>
      <c r="D149" s="15">
        <v>273468014</v>
      </c>
      <c r="E149" s="16">
        <v>11400000000000</v>
      </c>
      <c r="F149" s="16">
        <f t="shared" si="6"/>
        <v>41686.776574901371</v>
      </c>
      <c r="G149" s="16">
        <v>5673.1440000000002</v>
      </c>
      <c r="H149" s="20">
        <v>20.745000000000001</v>
      </c>
      <c r="I149" s="16">
        <v>20.498000000000001</v>
      </c>
      <c r="J149" s="16">
        <v>0.499</v>
      </c>
      <c r="K149" s="16">
        <v>25354.096000000001</v>
      </c>
      <c r="L149" s="16">
        <v>23.268999999999998</v>
      </c>
      <c r="M149" s="16">
        <v>5638.6350000000002</v>
      </c>
      <c r="N149" s="16">
        <v>6885.4089999999997</v>
      </c>
      <c r="O149" s="16">
        <v>6407.5780000000004</v>
      </c>
    </row>
    <row r="150" spans="1:15" s="15" customFormat="1" x14ac:dyDescent="0.3">
      <c r="A150" s="15" t="s">
        <v>13</v>
      </c>
      <c r="B150" s="15">
        <v>1998</v>
      </c>
      <c r="C150" s="15" t="s">
        <v>14</v>
      </c>
      <c r="D150" s="15">
        <v>276119323</v>
      </c>
      <c r="E150" s="16">
        <v>11900000000000</v>
      </c>
      <c r="F150" s="16">
        <f t="shared" si="6"/>
        <v>43097.309781539625</v>
      </c>
      <c r="G150" s="16">
        <v>5736.36</v>
      </c>
      <c r="H150" s="20">
        <v>20.774999999999999</v>
      </c>
      <c r="I150" s="16">
        <v>20.428000000000001</v>
      </c>
      <c r="J150" s="16">
        <v>0.48299999999999998</v>
      </c>
      <c r="K150" s="16">
        <v>25513.363000000001</v>
      </c>
      <c r="L150" s="16">
        <v>23.611000000000001</v>
      </c>
      <c r="M150" s="16">
        <v>5838.8919999999998</v>
      </c>
      <c r="N150" s="16">
        <v>6926.7820000000002</v>
      </c>
      <c r="O150" s="16">
        <v>6454.8689999999997</v>
      </c>
    </row>
    <row r="151" spans="1:15" s="15" customFormat="1" x14ac:dyDescent="0.3">
      <c r="A151" s="15" t="s">
        <v>13</v>
      </c>
      <c r="B151" s="15">
        <v>1999</v>
      </c>
      <c r="C151" s="15" t="s">
        <v>14</v>
      </c>
      <c r="D151" s="15">
        <v>278785482</v>
      </c>
      <c r="E151" s="16">
        <v>12400000000000</v>
      </c>
      <c r="F151" s="16">
        <f t="shared" si="6"/>
        <v>44478.643260196739</v>
      </c>
      <c r="G151" s="16">
        <v>5800.2809999999999</v>
      </c>
      <c r="H151" s="20">
        <v>20.806000000000001</v>
      </c>
      <c r="I151" s="16">
        <v>20.36</v>
      </c>
      <c r="J151" s="16">
        <v>0.46600000000000003</v>
      </c>
      <c r="K151" s="16">
        <v>25965.076000000001</v>
      </c>
      <c r="L151" s="16">
        <v>23.353000000000002</v>
      </c>
      <c r="M151" s="16">
        <v>5937.4489999999996</v>
      </c>
      <c r="N151" s="16">
        <v>7014.8959999999997</v>
      </c>
      <c r="O151" s="16">
        <v>6505.3869999999997</v>
      </c>
    </row>
    <row r="152" spans="1:15" s="15" customFormat="1" x14ac:dyDescent="0.3">
      <c r="A152" s="15" t="s">
        <v>13</v>
      </c>
      <c r="B152" s="15">
        <v>2000</v>
      </c>
      <c r="C152" s="15" t="s">
        <v>14</v>
      </c>
      <c r="D152" s="15">
        <v>281484126</v>
      </c>
      <c r="E152" s="16">
        <v>12900000000000</v>
      </c>
      <c r="F152" s="16">
        <f t="shared" si="6"/>
        <v>45828.516809505629</v>
      </c>
      <c r="G152" s="16">
        <v>6023.1580000000004</v>
      </c>
      <c r="H152" s="20">
        <v>21.398</v>
      </c>
      <c r="I152" s="16">
        <v>20.292000000000002</v>
      </c>
      <c r="J152" s="16">
        <v>0.46500000000000002</v>
      </c>
      <c r="K152" s="16">
        <v>26546.236000000001</v>
      </c>
      <c r="L152" s="16">
        <v>23.61</v>
      </c>
      <c r="M152" s="16">
        <v>6229.7</v>
      </c>
      <c r="N152" s="16">
        <v>7217.24</v>
      </c>
      <c r="O152" s="16">
        <v>6723.9769999999999</v>
      </c>
    </row>
    <row r="153" spans="1:15" s="15" customFormat="1" x14ac:dyDescent="0.3">
      <c r="A153" s="15" t="s">
        <v>13</v>
      </c>
      <c r="B153" s="15">
        <v>2001</v>
      </c>
      <c r="C153" s="15" t="s">
        <v>14</v>
      </c>
      <c r="D153" s="15">
        <v>284279634</v>
      </c>
      <c r="E153" s="16">
        <v>13100000000000</v>
      </c>
      <c r="F153" s="16">
        <f t="shared" si="6"/>
        <v>46081.387595989378</v>
      </c>
      <c r="G153" s="16">
        <v>5903.5619999999999</v>
      </c>
      <c r="H153" s="20">
        <v>20.766999999999999</v>
      </c>
      <c r="I153" s="16">
        <v>20.213000000000001</v>
      </c>
      <c r="J153" s="16">
        <v>0.45200000000000001</v>
      </c>
      <c r="K153" s="16">
        <v>25918.357</v>
      </c>
      <c r="L153" s="16">
        <v>22.977</v>
      </c>
      <c r="M153" s="16">
        <v>6149.08</v>
      </c>
      <c r="N153" s="16">
        <v>6976.3440000000001</v>
      </c>
      <c r="O153" s="16">
        <v>6576.0339999999997</v>
      </c>
    </row>
    <row r="154" spans="1:15" s="15" customFormat="1" x14ac:dyDescent="0.3">
      <c r="A154" s="15" t="s">
        <v>13</v>
      </c>
      <c r="B154" s="15">
        <v>2002</v>
      </c>
      <c r="C154" s="15" t="s">
        <v>14</v>
      </c>
      <c r="D154" s="15">
        <v>287084335</v>
      </c>
      <c r="E154" s="16">
        <v>13300000000000</v>
      </c>
      <c r="F154" s="16">
        <f t="shared" si="6"/>
        <v>46327.849967850038</v>
      </c>
      <c r="G154" s="16">
        <v>5947.8190000000004</v>
      </c>
      <c r="H154" s="20">
        <v>20.718</v>
      </c>
      <c r="I154" s="16">
        <v>20.132999999999999</v>
      </c>
      <c r="J154" s="16">
        <v>0.44700000000000001</v>
      </c>
      <c r="K154" s="16">
        <v>26297.27</v>
      </c>
      <c r="L154" s="16">
        <v>22.645</v>
      </c>
      <c r="M154" s="16">
        <v>6273.817</v>
      </c>
      <c r="N154" s="16">
        <v>7059.1109999999999</v>
      </c>
      <c r="O154" s="16">
        <v>6598.4189999999999</v>
      </c>
    </row>
    <row r="155" spans="1:15" s="15" customFormat="1" x14ac:dyDescent="0.3">
      <c r="A155" s="15" t="s">
        <v>13</v>
      </c>
      <c r="B155" s="15">
        <v>2003</v>
      </c>
      <c r="C155" s="15" t="s">
        <v>14</v>
      </c>
      <c r="D155" s="15">
        <v>289908091</v>
      </c>
      <c r="E155" s="16">
        <v>13700000000000</v>
      </c>
      <c r="F155" s="16">
        <f t="shared" si="6"/>
        <v>47256.356153233406</v>
      </c>
      <c r="G155" s="16">
        <v>6006.44</v>
      </c>
      <c r="H155" s="20">
        <v>20.718</v>
      </c>
      <c r="I155" s="16">
        <v>20.041</v>
      </c>
      <c r="J155" s="16">
        <v>0.439</v>
      </c>
      <c r="K155" s="16">
        <v>26383.083999999999</v>
      </c>
      <c r="L155" s="16">
        <v>21.721</v>
      </c>
      <c r="M155" s="16">
        <v>6435.5010000000002</v>
      </c>
      <c r="N155" s="16">
        <v>7245.4480000000003</v>
      </c>
      <c r="O155" s="16">
        <v>6664.0810000000001</v>
      </c>
    </row>
    <row r="156" spans="1:15" s="15" customFormat="1" x14ac:dyDescent="0.3">
      <c r="A156" s="15" t="s">
        <v>13</v>
      </c>
      <c r="B156" s="15">
        <v>2004</v>
      </c>
      <c r="C156" s="15" t="s">
        <v>14</v>
      </c>
      <c r="D156" s="15">
        <v>292786248</v>
      </c>
      <c r="E156" s="16">
        <v>14200000000000</v>
      </c>
      <c r="F156" s="16">
        <f t="shared" si="6"/>
        <v>48499.545648059262</v>
      </c>
      <c r="G156" s="16">
        <v>6111.5450000000001</v>
      </c>
      <c r="H156" s="20">
        <v>20.873999999999999</v>
      </c>
      <c r="I156" s="16">
        <v>19.951000000000001</v>
      </c>
      <c r="J156" s="16">
        <v>0.43</v>
      </c>
      <c r="K156" s="16">
        <v>26899.116999999998</v>
      </c>
      <c r="L156" s="16">
        <v>21.361999999999998</v>
      </c>
      <c r="M156" s="16">
        <v>6555.7749999999996</v>
      </c>
      <c r="N156" s="16">
        <v>7314.6670000000004</v>
      </c>
      <c r="O156" s="16">
        <v>6770.9080000000004</v>
      </c>
    </row>
    <row r="157" spans="1:15" s="15" customFormat="1" x14ac:dyDescent="0.3">
      <c r="A157" s="15" t="s">
        <v>13</v>
      </c>
      <c r="B157" s="15">
        <v>2005</v>
      </c>
      <c r="C157" s="15" t="s">
        <v>14</v>
      </c>
      <c r="D157" s="15">
        <v>295716666</v>
      </c>
      <c r="E157" s="16">
        <v>14673826218839</v>
      </c>
      <c r="F157" s="16">
        <f t="shared" si="5"/>
        <v>49621.235141474914</v>
      </c>
      <c r="G157" s="16">
        <v>6126.9030000000002</v>
      </c>
      <c r="H157" s="20">
        <v>20.719000000000001</v>
      </c>
      <c r="I157" s="16">
        <v>19.864999999999998</v>
      </c>
      <c r="J157" s="16">
        <v>0.41799999999999998</v>
      </c>
      <c r="K157" s="16">
        <v>26912.563999999998</v>
      </c>
      <c r="L157" s="16">
        <v>20.7</v>
      </c>
      <c r="M157" s="16">
        <v>6656.0119999999997</v>
      </c>
      <c r="N157" s="16">
        <v>7428.8</v>
      </c>
      <c r="O157" s="16">
        <v>6792.1390000000001</v>
      </c>
    </row>
    <row r="158" spans="1:15" s="15" customFormat="1" x14ac:dyDescent="0.3">
      <c r="A158" s="15" t="s">
        <v>13</v>
      </c>
      <c r="B158" s="15">
        <v>2006</v>
      </c>
      <c r="C158" s="15" t="s">
        <v>14</v>
      </c>
      <c r="D158" s="15">
        <v>298730208</v>
      </c>
      <c r="E158" s="16">
        <v>15065164240312</v>
      </c>
      <c r="F158" s="16">
        <f t="shared" si="5"/>
        <v>50430.669001214636</v>
      </c>
      <c r="G158" s="16">
        <v>6045.326</v>
      </c>
      <c r="H158" s="20">
        <v>20.236999999999998</v>
      </c>
      <c r="I158" s="16">
        <v>19.763000000000002</v>
      </c>
      <c r="J158" s="16">
        <v>0.40100000000000002</v>
      </c>
      <c r="K158" s="16">
        <v>26699.963</v>
      </c>
      <c r="L158" s="16">
        <v>19.760000000000002</v>
      </c>
      <c r="M158" s="16">
        <v>6618.9210000000003</v>
      </c>
      <c r="N158" s="16">
        <v>7064.8770000000004</v>
      </c>
      <c r="O158" s="16">
        <v>6721.1390000000001</v>
      </c>
    </row>
    <row r="159" spans="1:15" s="15" customFormat="1" x14ac:dyDescent="0.3">
      <c r="A159" s="15" t="s">
        <v>13</v>
      </c>
      <c r="B159" s="15">
        <v>2007</v>
      </c>
      <c r="C159" s="15" t="s">
        <v>14</v>
      </c>
      <c r="D159" s="15">
        <v>301844223</v>
      </c>
      <c r="E159" s="16">
        <v>15333183877566</v>
      </c>
      <c r="F159" s="16">
        <f t="shared" si="5"/>
        <v>50798.334734291071</v>
      </c>
      <c r="G159" s="16">
        <v>6121.5420000000004</v>
      </c>
      <c r="H159" s="20">
        <v>20.28</v>
      </c>
      <c r="I159" s="16">
        <v>19.667000000000002</v>
      </c>
      <c r="J159" s="16">
        <v>0.39900000000000002</v>
      </c>
      <c r="K159" s="16">
        <v>27066.710999999999</v>
      </c>
      <c r="L159" s="16">
        <v>19.434000000000001</v>
      </c>
      <c r="M159" s="16">
        <v>6526.7269999999999</v>
      </c>
      <c r="N159" s="16">
        <v>7181.5159999999996</v>
      </c>
      <c r="O159" s="16">
        <v>6806.6509999999998</v>
      </c>
    </row>
    <row r="160" spans="1:15" s="15" customFormat="1" x14ac:dyDescent="0.3">
      <c r="A160" s="15" t="s">
        <v>13</v>
      </c>
      <c r="B160" s="15">
        <v>2008</v>
      </c>
      <c r="C160" s="15" t="s">
        <v>14</v>
      </c>
      <c r="D160" s="15">
        <v>304970325</v>
      </c>
      <c r="E160" s="16">
        <v>15288552732632</v>
      </c>
      <c r="F160" s="16">
        <f t="shared" si="5"/>
        <v>50131.279929061951</v>
      </c>
      <c r="G160" s="16">
        <v>5919.2209999999995</v>
      </c>
      <c r="H160" s="20">
        <v>19.408999999999999</v>
      </c>
      <c r="I160" s="16">
        <v>19.567</v>
      </c>
      <c r="J160" s="16">
        <v>0.38700000000000001</v>
      </c>
      <c r="K160" s="16">
        <v>26407.25</v>
      </c>
      <c r="L160" s="16">
        <v>18.469000000000001</v>
      </c>
      <c r="M160" s="16">
        <v>6218.0749999999998</v>
      </c>
      <c r="N160" s="16">
        <v>7074.3329999999996</v>
      </c>
      <c r="O160" s="16">
        <v>6613.2920000000004</v>
      </c>
    </row>
    <row r="161" spans="1:15" s="15" customFormat="1" x14ac:dyDescent="0.3">
      <c r="A161" s="15" t="s">
        <v>13</v>
      </c>
      <c r="B161" s="15">
        <v>2009</v>
      </c>
      <c r="C161" s="15" t="s">
        <v>14</v>
      </c>
      <c r="D161" s="15">
        <v>308023452</v>
      </c>
      <c r="E161" s="16">
        <v>14864003344421</v>
      </c>
      <c r="F161" s="16">
        <f t="shared" si="5"/>
        <v>48256.076762690784</v>
      </c>
      <c r="G161" s="16">
        <v>5486.1040000000003</v>
      </c>
      <c r="H161" s="20">
        <v>17.811</v>
      </c>
      <c r="I161" s="16">
        <v>19.454000000000001</v>
      </c>
      <c r="J161" s="16">
        <v>0.36899999999999999</v>
      </c>
      <c r="K161" s="16">
        <v>25110.526999999998</v>
      </c>
      <c r="L161" s="16">
        <v>17.408999999999999</v>
      </c>
      <c r="M161" s="16">
        <v>5726.0829999999996</v>
      </c>
      <c r="N161" s="16">
        <v>6577.9179999999997</v>
      </c>
      <c r="O161" s="16">
        <v>6136.3850000000002</v>
      </c>
    </row>
    <row r="162" spans="1:15" s="15" customFormat="1" x14ac:dyDescent="0.3">
      <c r="A162" s="15" t="s">
        <v>13</v>
      </c>
      <c r="B162" s="15">
        <v>2010</v>
      </c>
      <c r="C162" s="15" t="s">
        <v>14</v>
      </c>
      <c r="D162" s="15">
        <v>311062785</v>
      </c>
      <c r="E162" s="16">
        <v>15239586726210</v>
      </c>
      <c r="F162" s="16">
        <f t="shared" si="5"/>
        <v>48991.996024886103</v>
      </c>
      <c r="G162" s="16">
        <v>5669.25</v>
      </c>
      <c r="H162" s="20">
        <v>18.225000000000001</v>
      </c>
      <c r="I162" s="16">
        <v>19.338999999999999</v>
      </c>
      <c r="J162" s="16">
        <v>0.372</v>
      </c>
      <c r="K162" s="16">
        <v>25953.546999999999</v>
      </c>
      <c r="L162" s="16">
        <v>17.015999999999998</v>
      </c>
      <c r="M162" s="16">
        <v>5889.8320000000003</v>
      </c>
      <c r="N162" s="16">
        <v>6823.5230000000001</v>
      </c>
      <c r="O162" s="16">
        <v>6307.125</v>
      </c>
    </row>
    <row r="163" spans="1:15" s="15" customFormat="1" x14ac:dyDescent="0.3">
      <c r="A163" s="15" t="s">
        <v>13</v>
      </c>
      <c r="B163" s="15">
        <v>2011</v>
      </c>
      <c r="C163" s="15" t="s">
        <v>14</v>
      </c>
      <c r="D163" s="15">
        <v>314105075</v>
      </c>
      <c r="E163" s="16">
        <v>15477885525000</v>
      </c>
      <c r="F163" s="16">
        <f t="shared" si="5"/>
        <v>49276.139600737108</v>
      </c>
      <c r="G163" s="16">
        <v>5538.973</v>
      </c>
      <c r="H163" s="20">
        <v>17.634</v>
      </c>
      <c r="I163" s="16">
        <v>19.204999999999998</v>
      </c>
      <c r="J163" s="16">
        <v>0.35799999999999998</v>
      </c>
      <c r="K163" s="16">
        <v>25729.088</v>
      </c>
      <c r="L163" s="16">
        <v>16.064</v>
      </c>
      <c r="M163" s="16">
        <v>5737.3980000000001</v>
      </c>
      <c r="N163" s="16">
        <v>6523.64</v>
      </c>
      <c r="O163" s="16">
        <v>6186.2269999999999</v>
      </c>
    </row>
    <row r="164" spans="1:15" s="15" customFormat="1" x14ac:dyDescent="0.3">
      <c r="A164" s="15" t="s">
        <v>13</v>
      </c>
      <c r="B164" s="15">
        <v>2012</v>
      </c>
      <c r="C164" s="15" t="s">
        <v>14</v>
      </c>
      <c r="D164" s="15">
        <v>317115349</v>
      </c>
      <c r="E164" s="16">
        <v>15830886903539</v>
      </c>
      <c r="F164" s="16">
        <f t="shared" si="5"/>
        <v>49921.541021147481</v>
      </c>
      <c r="G164" s="16">
        <v>5331.4669999999996</v>
      </c>
      <c r="H164" s="20">
        <v>16.812000000000001</v>
      </c>
      <c r="I164" s="16">
        <v>19.061</v>
      </c>
      <c r="J164" s="16">
        <v>0.33700000000000002</v>
      </c>
      <c r="K164" s="16">
        <v>25047.366999999998</v>
      </c>
      <c r="L164" s="16">
        <v>15.252000000000001</v>
      </c>
      <c r="M164" s="16">
        <v>5550.3230000000003</v>
      </c>
      <c r="N164" s="16">
        <v>6388.7079999999996</v>
      </c>
      <c r="O164" s="16">
        <v>5962.1639999999998</v>
      </c>
    </row>
    <row r="165" spans="1:15" s="15" customFormat="1" x14ac:dyDescent="0.3">
      <c r="A165" s="15" t="s">
        <v>13</v>
      </c>
      <c r="B165" s="15">
        <v>2013</v>
      </c>
      <c r="C165" s="15" t="s">
        <v>14</v>
      </c>
      <c r="D165" s="15">
        <v>320110752</v>
      </c>
      <c r="E165" s="16">
        <v>16122472460312</v>
      </c>
      <c r="F165" s="16">
        <f t="shared" si="5"/>
        <v>50365.295009872083</v>
      </c>
      <c r="G165" s="16">
        <v>5473.4359999999997</v>
      </c>
      <c r="H165" s="20">
        <v>17.099</v>
      </c>
      <c r="I165" s="16">
        <v>18.927</v>
      </c>
      <c r="J165" s="16">
        <v>0.33900000000000002</v>
      </c>
      <c r="K165" s="16">
        <v>25728.629000000001</v>
      </c>
      <c r="L165" s="16">
        <v>15.516</v>
      </c>
      <c r="M165" s="16">
        <v>5637.723</v>
      </c>
      <c r="N165" s="16">
        <v>6488.665</v>
      </c>
      <c r="O165" s="16">
        <v>6108.991</v>
      </c>
    </row>
    <row r="166" spans="1:15" s="15" customFormat="1" x14ac:dyDescent="0.3">
      <c r="A166" s="15" t="s">
        <v>13</v>
      </c>
      <c r="B166" s="15">
        <v>2014</v>
      </c>
      <c r="C166" s="15" t="s">
        <v>14</v>
      </c>
      <c r="D166" s="15">
        <v>323115377</v>
      </c>
      <c r="E166" s="16">
        <v>16491319003554</v>
      </c>
      <c r="F166" s="16">
        <f t="shared" si="5"/>
        <v>51038.484013572648</v>
      </c>
      <c r="G166" s="16">
        <v>5531.3850000000002</v>
      </c>
      <c r="H166" s="20">
        <v>17.119</v>
      </c>
      <c r="I166" s="16">
        <v>18.8</v>
      </c>
      <c r="J166" s="16">
        <v>0.33500000000000002</v>
      </c>
      <c r="K166" s="16">
        <v>25995.914000000001</v>
      </c>
      <c r="L166" s="16">
        <v>15.596</v>
      </c>
      <c r="M166" s="16">
        <v>5758.3959999999997</v>
      </c>
      <c r="N166" s="16">
        <v>6610.7669999999998</v>
      </c>
      <c r="O166" s="16">
        <v>6180.7190000000001</v>
      </c>
    </row>
    <row r="167" spans="1:15" s="15" customFormat="1" x14ac:dyDescent="0.3">
      <c r="A167" s="15" t="s">
        <v>13</v>
      </c>
      <c r="B167" s="15">
        <v>2015</v>
      </c>
      <c r="C167" s="15" t="s">
        <v>14</v>
      </c>
      <c r="D167" s="15">
        <v>326126496</v>
      </c>
      <c r="E167" s="16">
        <v>16937633974582</v>
      </c>
      <c r="F167" s="16">
        <f t="shared" si="5"/>
        <v>51935.780080199307</v>
      </c>
      <c r="G167" s="16">
        <v>5368.4970000000003</v>
      </c>
      <c r="H167" s="20">
        <v>16.460999999999999</v>
      </c>
      <c r="I167" s="16">
        <v>18.672999999999998</v>
      </c>
      <c r="J167" s="16">
        <v>0.317</v>
      </c>
      <c r="K167" s="16">
        <v>25747.425999999999</v>
      </c>
      <c r="L167" s="16">
        <v>15.164</v>
      </c>
      <c r="M167" s="16">
        <v>5693.5280000000002</v>
      </c>
      <c r="N167" s="16">
        <v>6408.2860000000001</v>
      </c>
      <c r="O167" s="16">
        <v>6005.9319999999998</v>
      </c>
    </row>
    <row r="168" spans="1:15" s="15" customFormat="1" x14ac:dyDescent="0.3">
      <c r="A168" s="15" t="s">
        <v>13</v>
      </c>
      <c r="B168" s="15">
        <v>2016</v>
      </c>
      <c r="C168" s="15" t="s">
        <v>14</v>
      </c>
      <c r="D168" s="15">
        <v>329179423</v>
      </c>
      <c r="E168" s="16">
        <v>17220065720000</v>
      </c>
      <c r="F168" s="16">
        <f t="shared" si="5"/>
        <v>52312.096433804123</v>
      </c>
      <c r="G168" s="16">
        <v>5245.3620000000001</v>
      </c>
      <c r="H168" s="20">
        <v>15.935</v>
      </c>
      <c r="I168" s="16">
        <v>18.553999999999998</v>
      </c>
      <c r="J168" s="16">
        <v>0.30499999999999999</v>
      </c>
      <c r="K168" s="16">
        <v>25727.050999999999</v>
      </c>
      <c r="L168" s="16">
        <v>14.82</v>
      </c>
      <c r="M168" s="16">
        <v>5557.76</v>
      </c>
      <c r="N168" s="16">
        <v>6308.6170000000002</v>
      </c>
      <c r="O168" s="16">
        <v>5852.134</v>
      </c>
    </row>
    <row r="169" spans="1:15" s="15" customFormat="1" x14ac:dyDescent="0.3">
      <c r="A169" s="15" t="s">
        <v>13</v>
      </c>
      <c r="B169" s="15">
        <v>2017</v>
      </c>
      <c r="C169" s="15" t="s">
        <v>14</v>
      </c>
      <c r="D169" s="15">
        <v>332204657</v>
      </c>
      <c r="E169" s="16">
        <v>17606124654726</v>
      </c>
      <c r="F169" s="16">
        <f t="shared" si="5"/>
        <v>52997.826140426441</v>
      </c>
      <c r="G169" s="16">
        <v>5195.4170000000004</v>
      </c>
      <c r="H169" s="20">
        <v>15.638999999999999</v>
      </c>
      <c r="I169" s="16">
        <v>18.433</v>
      </c>
      <c r="J169" s="16">
        <v>0.29499999999999998</v>
      </c>
      <c r="K169" s="16">
        <v>25822.155999999999</v>
      </c>
      <c r="L169" s="16">
        <v>14.442</v>
      </c>
      <c r="M169" s="16">
        <v>5526.1310000000003</v>
      </c>
      <c r="N169" s="16">
        <v>6319.2250000000004</v>
      </c>
      <c r="O169" s="16">
        <v>5815.0810000000001</v>
      </c>
    </row>
    <row r="170" spans="1:15" s="15" customFormat="1" x14ac:dyDescent="0.3">
      <c r="A170" s="15" t="s">
        <v>13</v>
      </c>
      <c r="B170" s="15">
        <v>2018</v>
      </c>
      <c r="C170" s="15" t="s">
        <v>14</v>
      </c>
      <c r="D170" s="15">
        <v>335056492</v>
      </c>
      <c r="E170" s="16">
        <v>18124692769570</v>
      </c>
      <c r="F170" s="16">
        <f t="shared" si="5"/>
        <v>54094.438407628288</v>
      </c>
      <c r="G170" s="16">
        <v>5361.2359999999999</v>
      </c>
      <c r="H170" s="20">
        <v>16.001000000000001</v>
      </c>
      <c r="I170" s="16">
        <v>18.318999999999999</v>
      </c>
      <c r="J170" s="16">
        <v>0.29599999999999999</v>
      </c>
      <c r="K170" s="16">
        <v>26768.988000000001</v>
      </c>
      <c r="L170" s="16">
        <v>14.595000000000001</v>
      </c>
      <c r="M170" s="16">
        <v>5684.5370000000003</v>
      </c>
      <c r="N170" s="16">
        <v>6466.7370000000001</v>
      </c>
      <c r="O170" s="16">
        <v>6005.3329999999996</v>
      </c>
    </row>
    <row r="171" spans="1:15" s="15" customFormat="1" x14ac:dyDescent="0.3">
      <c r="A171" s="15" t="s">
        <v>13</v>
      </c>
      <c r="B171" s="15">
        <v>2019</v>
      </c>
      <c r="C171" s="15" t="s">
        <v>14</v>
      </c>
      <c r="D171" s="15">
        <v>337790069</v>
      </c>
      <c r="E171" s="16">
        <v>18540552700117</v>
      </c>
      <c r="F171" s="16">
        <f t="shared" si="5"/>
        <v>54887.796894102888</v>
      </c>
      <c r="G171" s="16">
        <v>5235.9120000000003</v>
      </c>
      <c r="H171" s="20">
        <v>15.5</v>
      </c>
      <c r="I171" s="16">
        <v>18.204999999999998</v>
      </c>
      <c r="J171" s="16">
        <v>0.28199999999999997</v>
      </c>
      <c r="K171" s="16">
        <v>26578.493999999999</v>
      </c>
      <c r="L171" s="16">
        <v>14.118</v>
      </c>
      <c r="M171" s="16">
        <v>5580.0770000000002</v>
      </c>
      <c r="N171" s="16">
        <v>6360.7870000000003</v>
      </c>
      <c r="O171" s="16">
        <v>5899.8090000000002</v>
      </c>
    </row>
    <row r="172" spans="1:15" s="15" customFormat="1" x14ac:dyDescent="0.3">
      <c r="A172" s="15" t="s">
        <v>13</v>
      </c>
      <c r="B172" s="15">
        <v>2020</v>
      </c>
      <c r="C172" s="15" t="s">
        <v>14</v>
      </c>
      <c r="D172" s="15">
        <v>339436156</v>
      </c>
      <c r="E172" s="16">
        <v>18027359681343</v>
      </c>
      <c r="F172" s="16">
        <f t="shared" si="5"/>
        <v>53109.721409121186</v>
      </c>
      <c r="G172" s="16">
        <v>4689.9539999999997</v>
      </c>
      <c r="H172" s="20">
        <v>13.817</v>
      </c>
      <c r="I172" s="16">
        <v>18.09</v>
      </c>
      <c r="J172" s="16">
        <v>0.26</v>
      </c>
      <c r="K172" s="16">
        <v>24630.395</v>
      </c>
      <c r="L172" s="16">
        <v>13.34</v>
      </c>
      <c r="M172" s="16">
        <v>5103.0839999999998</v>
      </c>
      <c r="N172" s="16">
        <v>5758.4560000000001</v>
      </c>
      <c r="O172" s="16">
        <v>5309.8559999999998</v>
      </c>
    </row>
    <row r="173" spans="1:15" s="15" customFormat="1" x14ac:dyDescent="0.3">
      <c r="A173" s="15" t="s">
        <v>13</v>
      </c>
      <c r="B173" s="15">
        <v>2021</v>
      </c>
      <c r="C173" s="15" t="s">
        <v>14</v>
      </c>
      <c r="D173" s="15">
        <v>340161438</v>
      </c>
      <c r="E173" s="16">
        <v>19099378164000</v>
      </c>
      <c r="F173" s="16">
        <f t="shared" si="5"/>
        <v>56147.981606310117</v>
      </c>
      <c r="G173" s="16">
        <v>5020.1109999999999</v>
      </c>
      <c r="H173" s="20">
        <v>14.757999999999999</v>
      </c>
      <c r="I173" s="16">
        <v>17.98</v>
      </c>
      <c r="J173" s="16">
        <v>0.26300000000000001</v>
      </c>
      <c r="K173" s="16">
        <v>25956.828000000001</v>
      </c>
      <c r="L173" s="16">
        <v>13.617000000000001</v>
      </c>
      <c r="M173" s="16">
        <v>5489.6629999999996</v>
      </c>
      <c r="N173" s="16">
        <v>6131.1289999999999</v>
      </c>
      <c r="O173" s="16">
        <v>5675.3050000000003</v>
      </c>
    </row>
    <row r="174" spans="1:15" s="15" customFormat="1" x14ac:dyDescent="0.3">
      <c r="A174" s="15" t="s">
        <v>13</v>
      </c>
      <c r="B174" s="15">
        <v>2022</v>
      </c>
      <c r="C174" s="15" t="s">
        <v>14</v>
      </c>
      <c r="D174" s="15">
        <v>341534041</v>
      </c>
      <c r="E174" s="16">
        <v>19493170182843</v>
      </c>
      <c r="F174" s="16">
        <f t="shared" si="5"/>
        <v>57075.336109301621</v>
      </c>
      <c r="G174" s="16">
        <v>5055.4030000000002</v>
      </c>
      <c r="H174" s="20">
        <v>14.802</v>
      </c>
      <c r="I174" s="16">
        <v>17.87</v>
      </c>
      <c r="J174" s="16">
        <v>0.25900000000000001</v>
      </c>
      <c r="K174" s="16">
        <v>26512.51</v>
      </c>
      <c r="L174" s="16">
        <v>13.471</v>
      </c>
      <c r="M174" s="16">
        <v>5565.9889999999996</v>
      </c>
      <c r="N174" s="16">
        <v>6201.5039999999999</v>
      </c>
      <c r="O174" s="16">
        <v>5728.2650000000003</v>
      </c>
    </row>
    <row r="175" spans="1:15" s="15" customFormat="1" x14ac:dyDescent="0.3">
      <c r="A175" s="15" t="s">
        <v>13</v>
      </c>
      <c r="B175" s="15">
        <v>2023</v>
      </c>
      <c r="C175" s="15" t="s">
        <v>14</v>
      </c>
      <c r="D175" s="15">
        <v>343477330</v>
      </c>
      <c r="E175" s="16" t="s">
        <v>66</v>
      </c>
      <c r="F175" s="16" t="s">
        <v>66</v>
      </c>
      <c r="G175" s="16">
        <v>4918.4070000000002</v>
      </c>
      <c r="H175" s="20">
        <v>14.319000000000001</v>
      </c>
      <c r="I175" s="16">
        <v>17.759</v>
      </c>
      <c r="J175" s="16" t="s">
        <v>66</v>
      </c>
      <c r="K175" s="16">
        <v>26216.544999999998</v>
      </c>
      <c r="L175" s="16">
        <v>12.911</v>
      </c>
      <c r="M175" s="16">
        <v>5431.6589999999997</v>
      </c>
      <c r="N175" s="16">
        <v>6078.4549999999999</v>
      </c>
      <c r="O175" s="16">
        <v>5606.2430000000004</v>
      </c>
    </row>
    <row r="176" spans="1:15" s="15" customFormat="1" x14ac:dyDescent="0.3">
      <c r="A176" s="15" t="s">
        <v>13</v>
      </c>
      <c r="B176" s="15">
        <v>2024</v>
      </c>
      <c r="C176" s="15" t="s">
        <v>14</v>
      </c>
      <c r="D176" s="15">
        <v>345426566</v>
      </c>
      <c r="E176" s="16" t="s">
        <v>66</v>
      </c>
      <c r="F176" s="16" t="s">
        <v>66</v>
      </c>
      <c r="G176" s="16">
        <v>4904.12</v>
      </c>
      <c r="H176" s="20">
        <v>14.196999999999999</v>
      </c>
      <c r="I176" s="16">
        <v>17.651</v>
      </c>
      <c r="J176" s="16" t="s">
        <v>66</v>
      </c>
      <c r="K176" s="16">
        <v>26528.611000000001</v>
      </c>
      <c r="L176" s="16">
        <v>12.705</v>
      </c>
      <c r="M176" s="16"/>
      <c r="N176" s="16">
        <v>6054.308</v>
      </c>
      <c r="O176" s="16">
        <v>5594.31</v>
      </c>
    </row>
    <row r="177" spans="1:16" s="17" customFormat="1" x14ac:dyDescent="0.3">
      <c r="A177" s="17" t="s">
        <v>67</v>
      </c>
      <c r="B177" s="17">
        <v>1990</v>
      </c>
      <c r="D177" s="17">
        <v>5327803106</v>
      </c>
      <c r="E177" s="18">
        <v>43000000000000</v>
      </c>
      <c r="F177" s="18">
        <f>E177/D177</f>
        <v>8070.8688261348825</v>
      </c>
      <c r="G177" s="18">
        <v>22732.145</v>
      </c>
      <c r="H177" s="20">
        <v>4.2670000000000003</v>
      </c>
      <c r="I177" s="18">
        <v>100</v>
      </c>
      <c r="J177" s="18">
        <v>0.52800000000000002</v>
      </c>
      <c r="K177" s="18">
        <v>95856.289000000004</v>
      </c>
      <c r="L177" s="18">
        <v>100</v>
      </c>
      <c r="M177" s="18">
        <v>22732.143</v>
      </c>
      <c r="N177" s="18">
        <v>37574.773000000001</v>
      </c>
      <c r="O177" s="18">
        <v>26666.187999999998</v>
      </c>
      <c r="P177" s="18">
        <f>AVERAGE(H177:H211)</f>
        <v>4.4632857142857141</v>
      </c>
    </row>
    <row r="178" spans="1:16" s="17" customFormat="1" x14ac:dyDescent="0.3">
      <c r="A178" s="17" t="s">
        <v>67</v>
      </c>
      <c r="B178" s="17">
        <v>1991</v>
      </c>
      <c r="D178" s="17">
        <v>5418735886</v>
      </c>
      <c r="E178" s="18" t="s">
        <v>66</v>
      </c>
      <c r="F178" s="18" t="s">
        <v>66</v>
      </c>
      <c r="G178" s="18">
        <v>23205.592000000001</v>
      </c>
      <c r="H178" s="20">
        <v>4.282</v>
      </c>
      <c r="I178" s="18">
        <v>100</v>
      </c>
      <c r="J178" s="18" t="s">
        <v>66</v>
      </c>
      <c r="K178" s="18">
        <v>96516.406000000003</v>
      </c>
      <c r="L178" s="18">
        <v>100</v>
      </c>
      <c r="M178" s="18">
        <v>23205.592000000001</v>
      </c>
      <c r="N178" s="18">
        <v>37889.741999999998</v>
      </c>
      <c r="O178" s="18">
        <v>27100.34</v>
      </c>
    </row>
    <row r="179" spans="1:16" s="17" customFormat="1" x14ac:dyDescent="0.3">
      <c r="A179" s="17" t="s">
        <v>67</v>
      </c>
      <c r="B179" s="17">
        <v>1992</v>
      </c>
      <c r="D179" s="17">
        <v>5505989815</v>
      </c>
      <c r="E179" s="18" t="s">
        <v>66</v>
      </c>
      <c r="F179" s="18" t="s">
        <v>66</v>
      </c>
      <c r="G179" s="18">
        <v>22520.423999999999</v>
      </c>
      <c r="H179" s="20">
        <v>4.09</v>
      </c>
      <c r="I179" s="18">
        <v>100</v>
      </c>
      <c r="J179" s="18" t="s">
        <v>66</v>
      </c>
      <c r="K179" s="18">
        <v>97104.883000000002</v>
      </c>
      <c r="L179" s="18">
        <v>100</v>
      </c>
      <c r="M179" s="18">
        <v>22520.423999999999</v>
      </c>
      <c r="N179" s="18">
        <v>37455.108999999997</v>
      </c>
      <c r="O179" s="18">
        <v>26432.863000000001</v>
      </c>
    </row>
    <row r="180" spans="1:16" s="17" customFormat="1" x14ac:dyDescent="0.3">
      <c r="A180" s="17" t="s">
        <v>67</v>
      </c>
      <c r="B180" s="17">
        <v>1993</v>
      </c>
      <c r="D180" s="17">
        <v>5591544802</v>
      </c>
      <c r="E180" s="18" t="s">
        <v>66</v>
      </c>
      <c r="F180" s="18" t="s">
        <v>66</v>
      </c>
      <c r="G180" s="18">
        <v>22749.873</v>
      </c>
      <c r="H180" s="20">
        <v>4.069</v>
      </c>
      <c r="I180" s="18">
        <v>100</v>
      </c>
      <c r="J180" s="18" t="s">
        <v>66</v>
      </c>
      <c r="K180" s="18">
        <v>97894.812000000005</v>
      </c>
      <c r="L180" s="18">
        <v>100</v>
      </c>
      <c r="M180" s="18">
        <v>22749.873</v>
      </c>
      <c r="N180" s="18">
        <v>37427.730000000003</v>
      </c>
      <c r="O180" s="18">
        <v>26668.346000000001</v>
      </c>
    </row>
    <row r="181" spans="1:16" s="17" customFormat="1" x14ac:dyDescent="0.3">
      <c r="A181" s="17" t="s">
        <v>67</v>
      </c>
      <c r="B181" s="17">
        <v>1994</v>
      </c>
      <c r="D181" s="17">
        <v>5675551258</v>
      </c>
      <c r="E181" s="18" t="s">
        <v>66</v>
      </c>
      <c r="F181" s="18" t="s">
        <v>66</v>
      </c>
      <c r="G181" s="18">
        <v>22974.598000000002</v>
      </c>
      <c r="H181" s="20">
        <v>4.048</v>
      </c>
      <c r="I181" s="18">
        <v>100</v>
      </c>
      <c r="J181" s="18" t="s">
        <v>66</v>
      </c>
      <c r="K181" s="18">
        <v>99137.25</v>
      </c>
      <c r="L181" s="18">
        <v>100</v>
      </c>
      <c r="M181" s="18">
        <v>22974.6</v>
      </c>
      <c r="N181" s="18">
        <v>38666.152000000002</v>
      </c>
      <c r="O181" s="18">
        <v>26925.629000000001</v>
      </c>
    </row>
    <row r="182" spans="1:16" s="17" customFormat="1" x14ac:dyDescent="0.3">
      <c r="A182" s="17" t="s">
        <v>67</v>
      </c>
      <c r="B182" s="17">
        <v>1995</v>
      </c>
      <c r="D182" s="17">
        <v>5758878977</v>
      </c>
      <c r="E182" s="18" t="s">
        <v>66</v>
      </c>
      <c r="F182" s="18" t="s">
        <v>66</v>
      </c>
      <c r="G182" s="18">
        <v>23516.638999999999</v>
      </c>
      <c r="H182" s="20">
        <v>4.0839999999999996</v>
      </c>
      <c r="I182" s="18">
        <v>100</v>
      </c>
      <c r="J182" s="18" t="s">
        <v>66</v>
      </c>
      <c r="K182" s="18">
        <v>101315.359</v>
      </c>
      <c r="L182" s="18">
        <v>100</v>
      </c>
      <c r="M182" s="18">
        <v>23516.636999999999</v>
      </c>
      <c r="N182" s="18">
        <v>38933.976999999999</v>
      </c>
      <c r="O182" s="18">
        <v>27528.576000000001</v>
      </c>
    </row>
    <row r="183" spans="1:16" s="17" customFormat="1" x14ac:dyDescent="0.3">
      <c r="A183" s="17" t="s">
        <v>67</v>
      </c>
      <c r="B183" s="17">
        <v>1996</v>
      </c>
      <c r="D183" s="17">
        <v>5842055730</v>
      </c>
      <c r="E183" s="18" t="s">
        <v>66</v>
      </c>
      <c r="F183" s="18" t="s">
        <v>66</v>
      </c>
      <c r="G183" s="18">
        <v>24233.476999999999</v>
      </c>
      <c r="H183" s="20">
        <v>4.1479999999999997</v>
      </c>
      <c r="I183" s="18">
        <v>100</v>
      </c>
      <c r="J183" s="18" t="s">
        <v>66</v>
      </c>
      <c r="K183" s="18">
        <v>104245.836</v>
      </c>
      <c r="L183" s="18">
        <v>100</v>
      </c>
      <c r="M183" s="18">
        <v>24233.476999999999</v>
      </c>
      <c r="N183" s="18">
        <v>39997.945</v>
      </c>
      <c r="O183" s="18">
        <v>28302.800999999999</v>
      </c>
    </row>
    <row r="184" spans="1:16" s="17" customFormat="1" x14ac:dyDescent="0.3">
      <c r="A184" s="17" t="s">
        <v>67</v>
      </c>
      <c r="B184" s="17">
        <v>1997</v>
      </c>
      <c r="D184" s="17">
        <v>5924787819</v>
      </c>
      <c r="E184" s="18" t="s">
        <v>66</v>
      </c>
      <c r="F184" s="18" t="s">
        <v>66</v>
      </c>
      <c r="G184" s="18">
        <v>24380.322</v>
      </c>
      <c r="H184" s="20">
        <v>4.1150000000000002</v>
      </c>
      <c r="I184" s="18">
        <v>100</v>
      </c>
      <c r="J184" s="18" t="s">
        <v>66</v>
      </c>
      <c r="K184" s="18">
        <v>105269.266</v>
      </c>
      <c r="L184" s="18">
        <v>100</v>
      </c>
      <c r="M184" s="18">
        <v>24380.322</v>
      </c>
      <c r="N184" s="18">
        <v>41519.980000000003</v>
      </c>
      <c r="O184" s="18">
        <v>28417.307000000001</v>
      </c>
    </row>
    <row r="185" spans="1:16" s="17" customFormat="1" x14ac:dyDescent="0.3">
      <c r="A185" s="17" t="s">
        <v>67</v>
      </c>
      <c r="B185" s="17">
        <v>1998</v>
      </c>
      <c r="D185" s="17">
        <v>6007066691</v>
      </c>
      <c r="E185" s="18" t="s">
        <v>66</v>
      </c>
      <c r="F185" s="18" t="s">
        <v>66</v>
      </c>
      <c r="G185" s="18">
        <v>24295.713</v>
      </c>
      <c r="H185" s="20">
        <v>4.0449999999999999</v>
      </c>
      <c r="I185" s="18">
        <v>100</v>
      </c>
      <c r="J185" s="18" t="s">
        <v>66</v>
      </c>
      <c r="K185" s="18">
        <v>105852.398</v>
      </c>
      <c r="L185" s="18">
        <v>100</v>
      </c>
      <c r="M185" s="18">
        <v>24295.715</v>
      </c>
      <c r="N185" s="18">
        <v>40128.703000000001</v>
      </c>
      <c r="O185" s="18">
        <v>28197.175999999999</v>
      </c>
    </row>
    <row r="186" spans="1:16" s="17" customFormat="1" x14ac:dyDescent="0.3">
      <c r="A186" s="17" t="s">
        <v>67</v>
      </c>
      <c r="B186" s="17">
        <v>1999</v>
      </c>
      <c r="D186" s="17">
        <v>6089006328</v>
      </c>
      <c r="E186" s="18" t="s">
        <v>66</v>
      </c>
      <c r="F186" s="18" t="s">
        <v>66</v>
      </c>
      <c r="G186" s="18">
        <v>24837.771000000001</v>
      </c>
      <c r="H186" s="20">
        <v>4.0789999999999997</v>
      </c>
      <c r="I186" s="18">
        <v>100</v>
      </c>
      <c r="J186" s="18" t="s">
        <v>66</v>
      </c>
      <c r="K186" s="18">
        <v>107613.984</v>
      </c>
      <c r="L186" s="18">
        <v>100</v>
      </c>
      <c r="M186" s="18">
        <v>24837.771000000001</v>
      </c>
      <c r="N186" s="18">
        <v>40450.991999999998</v>
      </c>
      <c r="O186" s="18">
        <v>28691.544999999998</v>
      </c>
    </row>
    <row r="187" spans="1:16" s="17" customFormat="1" x14ac:dyDescent="0.3">
      <c r="A187" s="17" t="s">
        <v>67</v>
      </c>
      <c r="B187" s="17">
        <v>2000</v>
      </c>
      <c r="D187" s="17">
        <v>6171702992</v>
      </c>
      <c r="E187" s="18">
        <v>59900000000000</v>
      </c>
      <c r="F187" s="18">
        <f>E187/D187</f>
        <v>9705.586947013604</v>
      </c>
      <c r="G187" s="18">
        <v>25511.482</v>
      </c>
      <c r="H187" s="20">
        <v>4.1340000000000003</v>
      </c>
      <c r="I187" s="18">
        <v>100</v>
      </c>
      <c r="J187" s="18">
        <v>0.42599999999999999</v>
      </c>
      <c r="K187" s="18">
        <v>110416.398</v>
      </c>
      <c r="L187" s="18">
        <v>100</v>
      </c>
      <c r="M187" s="18">
        <v>25511.482</v>
      </c>
      <c r="N187" s="18">
        <v>40795.379000000001</v>
      </c>
      <c r="O187" s="18">
        <v>29457.48</v>
      </c>
    </row>
    <row r="188" spans="1:16" s="17" customFormat="1" x14ac:dyDescent="0.3">
      <c r="A188" s="17" t="s">
        <v>67</v>
      </c>
      <c r="B188" s="17">
        <v>2001</v>
      </c>
      <c r="D188" s="17">
        <v>6254936464</v>
      </c>
      <c r="E188" s="18" t="s">
        <v>66</v>
      </c>
      <c r="F188" s="18" t="s">
        <v>66</v>
      </c>
      <c r="G188" s="18">
        <v>25692.993999999999</v>
      </c>
      <c r="H188" s="20">
        <v>4.1079999999999997</v>
      </c>
      <c r="I188" s="18">
        <v>100</v>
      </c>
      <c r="J188" s="18" t="s">
        <v>66</v>
      </c>
      <c r="K188" s="18">
        <v>111493.289</v>
      </c>
      <c r="L188" s="18">
        <v>100</v>
      </c>
      <c r="M188" s="18">
        <v>25692.993999999999</v>
      </c>
      <c r="N188" s="18">
        <v>40260.362999999998</v>
      </c>
      <c r="O188" s="18">
        <v>29614.561000000002</v>
      </c>
    </row>
    <row r="189" spans="1:16" s="17" customFormat="1" x14ac:dyDescent="0.3">
      <c r="A189" s="17" t="s">
        <v>67</v>
      </c>
      <c r="B189" s="17">
        <v>2002</v>
      </c>
      <c r="D189" s="17">
        <v>6337730343</v>
      </c>
      <c r="E189" s="18" t="s">
        <v>66</v>
      </c>
      <c r="F189" s="18" t="s">
        <v>66</v>
      </c>
      <c r="G189" s="18">
        <v>26265.331999999999</v>
      </c>
      <c r="H189" s="20">
        <v>4.1440000000000001</v>
      </c>
      <c r="I189" s="18">
        <v>100</v>
      </c>
      <c r="J189" s="18" t="s">
        <v>66</v>
      </c>
      <c r="K189" s="18">
        <v>113894.43</v>
      </c>
      <c r="L189" s="18">
        <v>100</v>
      </c>
      <c r="M189" s="18">
        <v>26265.331999999999</v>
      </c>
      <c r="N189" s="18">
        <v>41423.413999999997</v>
      </c>
      <c r="O189" s="18">
        <v>30085.199000000001</v>
      </c>
    </row>
    <row r="190" spans="1:16" s="17" customFormat="1" x14ac:dyDescent="0.3">
      <c r="A190" s="17" t="s">
        <v>67</v>
      </c>
      <c r="B190" s="17">
        <v>2003</v>
      </c>
      <c r="D190" s="17">
        <v>6420361633</v>
      </c>
      <c r="E190" s="18" t="s">
        <v>66</v>
      </c>
      <c r="F190" s="18" t="s">
        <v>66</v>
      </c>
      <c r="G190" s="18">
        <v>27652.690999999999</v>
      </c>
      <c r="H190" s="20">
        <v>4.3070000000000004</v>
      </c>
      <c r="I190" s="18">
        <v>100</v>
      </c>
      <c r="J190" s="18" t="s">
        <v>66</v>
      </c>
      <c r="K190" s="18">
        <v>117849.602</v>
      </c>
      <c r="L190" s="18">
        <v>100</v>
      </c>
      <c r="M190" s="18">
        <v>27652.690999999999</v>
      </c>
      <c r="N190" s="18">
        <v>44206.870999999999</v>
      </c>
      <c r="O190" s="18">
        <v>31648.42</v>
      </c>
    </row>
    <row r="191" spans="1:16" s="17" customFormat="1" x14ac:dyDescent="0.3">
      <c r="A191" s="17" t="s">
        <v>67</v>
      </c>
      <c r="B191" s="17">
        <v>2004</v>
      </c>
      <c r="D191" s="17">
        <v>6503377774</v>
      </c>
      <c r="E191" s="18" t="s">
        <v>66</v>
      </c>
      <c r="F191" s="18" t="s">
        <v>66</v>
      </c>
      <c r="G191" s="18">
        <v>28610.023000000001</v>
      </c>
      <c r="H191" s="20">
        <v>4.399</v>
      </c>
      <c r="I191" s="18">
        <v>100</v>
      </c>
      <c r="J191" s="18" t="s">
        <v>66</v>
      </c>
      <c r="K191" s="18">
        <v>123841.742</v>
      </c>
      <c r="L191" s="18">
        <v>100</v>
      </c>
      <c r="M191" s="18">
        <v>28610.023000000001</v>
      </c>
      <c r="N191" s="18">
        <v>44421.226999999999</v>
      </c>
      <c r="O191" s="18">
        <v>32630.893</v>
      </c>
    </row>
    <row r="192" spans="1:16" s="17" customFormat="1" x14ac:dyDescent="0.3">
      <c r="A192" s="17" t="s">
        <v>67</v>
      </c>
      <c r="B192" s="17">
        <v>2005</v>
      </c>
      <c r="C192" s="17" t="s">
        <v>68</v>
      </c>
      <c r="D192" s="17">
        <v>6586970132</v>
      </c>
      <c r="E192" s="18" t="s">
        <v>66</v>
      </c>
      <c r="F192" s="18" t="s">
        <v>66</v>
      </c>
      <c r="G192" s="18">
        <v>29598.951000000001</v>
      </c>
      <c r="H192" s="20">
        <v>4.4939999999999998</v>
      </c>
      <c r="I192" s="18">
        <v>100</v>
      </c>
      <c r="J192" s="18" t="s">
        <v>66</v>
      </c>
      <c r="K192" s="18">
        <v>127936.719</v>
      </c>
      <c r="L192" s="18">
        <v>100</v>
      </c>
      <c r="M192" s="18">
        <v>29598.951000000001</v>
      </c>
      <c r="N192" s="18">
        <v>45006.917999999998</v>
      </c>
      <c r="O192" s="18">
        <v>33687.421999999999</v>
      </c>
    </row>
    <row r="193" spans="1:15" s="17" customFormat="1" x14ac:dyDescent="0.3">
      <c r="A193" s="17" t="s">
        <v>67</v>
      </c>
      <c r="B193" s="17">
        <v>2006</v>
      </c>
      <c r="C193" s="17" t="s">
        <v>68</v>
      </c>
      <c r="D193" s="17">
        <v>6671452019</v>
      </c>
      <c r="E193" s="18" t="s">
        <v>66</v>
      </c>
      <c r="F193" s="18" t="s">
        <v>66</v>
      </c>
      <c r="G193" s="18">
        <v>30594.151999999998</v>
      </c>
      <c r="H193" s="20">
        <v>4.5860000000000003</v>
      </c>
      <c r="I193" s="18">
        <v>100</v>
      </c>
      <c r="J193" s="18" t="s">
        <v>66</v>
      </c>
      <c r="K193" s="18">
        <v>131481.20300000001</v>
      </c>
      <c r="L193" s="18">
        <v>100</v>
      </c>
      <c r="M193" s="18">
        <v>30594.151999999998</v>
      </c>
      <c r="N193" s="18">
        <v>46217.527000000002</v>
      </c>
      <c r="O193" s="18">
        <v>34735.453000000001</v>
      </c>
    </row>
    <row r="194" spans="1:15" s="17" customFormat="1" x14ac:dyDescent="0.3">
      <c r="A194" s="17" t="s">
        <v>67</v>
      </c>
      <c r="B194" s="17">
        <v>2007</v>
      </c>
      <c r="C194" s="17" t="s">
        <v>68</v>
      </c>
      <c r="D194" s="17">
        <v>6757308776</v>
      </c>
      <c r="E194" s="18" t="s">
        <v>66</v>
      </c>
      <c r="F194" s="18" t="s">
        <v>66</v>
      </c>
      <c r="G194" s="18">
        <v>31499.256000000001</v>
      </c>
      <c r="H194" s="20">
        <v>4.6619999999999999</v>
      </c>
      <c r="I194" s="18">
        <v>100</v>
      </c>
      <c r="J194" s="18" t="s">
        <v>66</v>
      </c>
      <c r="K194" s="18">
        <v>135617.984</v>
      </c>
      <c r="L194" s="18">
        <v>100</v>
      </c>
      <c r="M194" s="18">
        <v>31499.254000000001</v>
      </c>
      <c r="N194" s="18">
        <v>46734.879000000001</v>
      </c>
      <c r="O194" s="18">
        <v>35622.355000000003</v>
      </c>
    </row>
    <row r="195" spans="1:15" s="17" customFormat="1" x14ac:dyDescent="0.3">
      <c r="A195" s="17" t="s">
        <v>67</v>
      </c>
      <c r="B195" s="17">
        <v>2008</v>
      </c>
      <c r="C195" s="17" t="s">
        <v>68</v>
      </c>
      <c r="D195" s="17">
        <v>6844457659</v>
      </c>
      <c r="E195" s="18" t="s">
        <v>66</v>
      </c>
      <c r="F195" s="18" t="s">
        <v>66</v>
      </c>
      <c r="G195" s="18">
        <v>32049.66</v>
      </c>
      <c r="H195" s="20">
        <v>4.6829999999999998</v>
      </c>
      <c r="I195" s="18">
        <v>100</v>
      </c>
      <c r="J195" s="18" t="s">
        <v>66</v>
      </c>
      <c r="K195" s="18">
        <v>137229.40599999999</v>
      </c>
      <c r="L195" s="18">
        <v>100</v>
      </c>
      <c r="M195" s="18">
        <v>32049.66</v>
      </c>
      <c r="N195" s="18">
        <v>47666.078000000001</v>
      </c>
      <c r="O195" s="18">
        <v>36193.508000000002</v>
      </c>
    </row>
    <row r="196" spans="1:15" s="17" customFormat="1" x14ac:dyDescent="0.3">
      <c r="A196" s="17" t="s">
        <v>67</v>
      </c>
      <c r="B196" s="17">
        <v>2009</v>
      </c>
      <c r="C196" s="17" t="s">
        <v>68</v>
      </c>
      <c r="D196" s="17">
        <v>6932766416</v>
      </c>
      <c r="E196" s="18" t="s">
        <v>66</v>
      </c>
      <c r="F196" s="18" t="s">
        <v>66</v>
      </c>
      <c r="G196" s="18">
        <v>31513.013999999999</v>
      </c>
      <c r="H196" s="20">
        <v>4.5460000000000003</v>
      </c>
      <c r="I196" s="18">
        <v>100</v>
      </c>
      <c r="J196" s="18" t="s">
        <v>66</v>
      </c>
      <c r="K196" s="18">
        <v>135033.21900000001</v>
      </c>
      <c r="L196" s="18">
        <v>100</v>
      </c>
      <c r="M196" s="18">
        <v>31513.011999999999</v>
      </c>
      <c r="N196" s="18">
        <v>47682.02</v>
      </c>
      <c r="O196" s="18">
        <v>35619.578000000001</v>
      </c>
    </row>
    <row r="197" spans="1:15" s="17" customFormat="1" x14ac:dyDescent="0.3">
      <c r="A197" s="17" t="s">
        <v>67</v>
      </c>
      <c r="B197" s="17">
        <v>2010</v>
      </c>
      <c r="C197" s="17" t="s">
        <v>68</v>
      </c>
      <c r="D197" s="17">
        <v>7021732143</v>
      </c>
      <c r="E197" s="18">
        <v>89800000000000</v>
      </c>
      <c r="F197" s="18">
        <f>E197/D197</f>
        <v>12788.867215551945</v>
      </c>
      <c r="G197" s="18">
        <v>33317.671999999999</v>
      </c>
      <c r="H197" s="20">
        <v>4.7450000000000001</v>
      </c>
      <c r="I197" s="18">
        <v>100</v>
      </c>
      <c r="J197" s="18">
        <v>0.371</v>
      </c>
      <c r="K197" s="18">
        <v>141602.04699999999</v>
      </c>
      <c r="L197" s="18">
        <v>100</v>
      </c>
      <c r="M197" s="18">
        <v>33317.675999999999</v>
      </c>
      <c r="N197" s="18">
        <v>49602.09</v>
      </c>
      <c r="O197" s="18">
        <v>37505.769999999997</v>
      </c>
    </row>
    <row r="198" spans="1:15" s="17" customFormat="1" x14ac:dyDescent="0.3">
      <c r="A198" s="17" t="s">
        <v>67</v>
      </c>
      <c r="B198" s="17">
        <v>2011</v>
      </c>
      <c r="C198" s="17" t="s">
        <v>68</v>
      </c>
      <c r="D198" s="17">
        <v>7110923773</v>
      </c>
      <c r="E198" s="18" t="s">
        <v>66</v>
      </c>
      <c r="F198" s="18" t="s">
        <v>66</v>
      </c>
      <c r="G198" s="18">
        <v>34479.987999999998</v>
      </c>
      <c r="H198" s="20">
        <v>4.8490000000000002</v>
      </c>
      <c r="I198" s="18">
        <v>100</v>
      </c>
      <c r="J198" s="18" t="s">
        <v>66</v>
      </c>
      <c r="K198" s="18">
        <v>144913.29699999999</v>
      </c>
      <c r="L198" s="18">
        <v>100</v>
      </c>
      <c r="M198" s="18">
        <v>34479.987999999998</v>
      </c>
      <c r="N198" s="18">
        <v>50934.175999999999</v>
      </c>
      <c r="O198" s="18">
        <v>38830.555</v>
      </c>
    </row>
    <row r="199" spans="1:15" s="17" customFormat="1" x14ac:dyDescent="0.3">
      <c r="A199" s="17" t="s">
        <v>67</v>
      </c>
      <c r="B199" s="17">
        <v>2012</v>
      </c>
      <c r="C199" s="17" t="s">
        <v>68</v>
      </c>
      <c r="D199" s="17">
        <v>7201202478</v>
      </c>
      <c r="E199" s="18" t="s">
        <v>66</v>
      </c>
      <c r="F199" s="18" t="s">
        <v>66</v>
      </c>
      <c r="G199" s="18">
        <v>34954.733999999997</v>
      </c>
      <c r="H199" s="20">
        <v>4.8540000000000001</v>
      </c>
      <c r="I199" s="18">
        <v>100</v>
      </c>
      <c r="J199" s="18" t="s">
        <v>66</v>
      </c>
      <c r="K199" s="18">
        <v>147002.42199999999</v>
      </c>
      <c r="L199" s="18">
        <v>100</v>
      </c>
      <c r="M199" s="18">
        <v>34954.733999999997</v>
      </c>
      <c r="N199" s="18">
        <v>51787.148000000001</v>
      </c>
      <c r="O199" s="18">
        <v>39379.574000000001</v>
      </c>
    </row>
    <row r="200" spans="1:15" s="17" customFormat="1" x14ac:dyDescent="0.3">
      <c r="A200" s="17" t="s">
        <v>67</v>
      </c>
      <c r="B200" s="17">
        <v>2013</v>
      </c>
      <c r="C200" s="17" t="s">
        <v>68</v>
      </c>
      <c r="D200" s="17">
        <v>7291793585</v>
      </c>
      <c r="E200" s="18" t="s">
        <v>66</v>
      </c>
      <c r="F200" s="18" t="s">
        <v>66</v>
      </c>
      <c r="G200" s="18">
        <v>35275.82</v>
      </c>
      <c r="H200" s="20">
        <v>4.8380000000000001</v>
      </c>
      <c r="I200" s="18">
        <v>100</v>
      </c>
      <c r="J200" s="18" t="s">
        <v>66</v>
      </c>
      <c r="K200" s="18">
        <v>149599.734</v>
      </c>
      <c r="L200" s="18">
        <v>100</v>
      </c>
      <c r="M200" s="18">
        <v>35275.815999999999</v>
      </c>
      <c r="N200" s="18">
        <v>51689.281000000003</v>
      </c>
      <c r="O200" s="18">
        <v>39676.910000000003</v>
      </c>
    </row>
    <row r="201" spans="1:15" s="17" customFormat="1" x14ac:dyDescent="0.3">
      <c r="A201" s="17" t="s">
        <v>67</v>
      </c>
      <c r="B201" s="17">
        <v>2014</v>
      </c>
      <c r="C201" s="17" t="s">
        <v>68</v>
      </c>
      <c r="D201" s="17">
        <v>7381616239</v>
      </c>
      <c r="E201" s="18" t="s">
        <v>66</v>
      </c>
      <c r="F201" s="18" t="s">
        <v>66</v>
      </c>
      <c r="G201" s="18">
        <v>35465.695</v>
      </c>
      <c r="H201" s="20">
        <v>4.8049999999999997</v>
      </c>
      <c r="I201" s="18">
        <v>100</v>
      </c>
      <c r="J201" s="18" t="s">
        <v>66</v>
      </c>
      <c r="K201" s="18">
        <v>151239.17199999999</v>
      </c>
      <c r="L201" s="18">
        <v>100</v>
      </c>
      <c r="M201" s="18">
        <v>35465.695</v>
      </c>
      <c r="N201" s="18">
        <v>52086.366999999998</v>
      </c>
      <c r="O201" s="18">
        <v>39923.324000000001</v>
      </c>
    </row>
    <row r="202" spans="1:15" s="17" customFormat="1" x14ac:dyDescent="0.3">
      <c r="A202" s="17" t="s">
        <v>67</v>
      </c>
      <c r="B202" s="17">
        <v>2015</v>
      </c>
      <c r="C202" s="17" t="s">
        <v>68</v>
      </c>
      <c r="D202" s="17">
        <v>7470491876</v>
      </c>
      <c r="E202" s="18">
        <v>107000000000000</v>
      </c>
      <c r="F202" s="18">
        <f>E202/D202</f>
        <v>14323.019390965736</v>
      </c>
      <c r="G202" s="18">
        <v>35403.527000000002</v>
      </c>
      <c r="H202" s="20">
        <v>4.7389999999999999</v>
      </c>
      <c r="I202" s="18">
        <v>100</v>
      </c>
      <c r="J202" s="18">
        <v>0.33100000000000002</v>
      </c>
      <c r="K202" s="18">
        <v>152357.625</v>
      </c>
      <c r="L202" s="18">
        <v>100</v>
      </c>
      <c r="M202" s="18">
        <v>35403.531000000003</v>
      </c>
      <c r="N202" s="18">
        <v>52119.311999999998</v>
      </c>
      <c r="O202" s="18">
        <v>39824.972999999998</v>
      </c>
    </row>
    <row r="203" spans="1:15" s="17" customFormat="1" x14ac:dyDescent="0.3">
      <c r="A203" s="17" t="s">
        <v>67</v>
      </c>
      <c r="B203" s="17">
        <v>2016</v>
      </c>
      <c r="C203" s="17" t="s">
        <v>68</v>
      </c>
      <c r="D203" s="17">
        <v>7558554527</v>
      </c>
      <c r="E203" s="18">
        <v>110000000000000</v>
      </c>
      <c r="F203" s="18">
        <f t="shared" ref="F203:F209" si="7">E203/D203</f>
        <v>14553.047094794081</v>
      </c>
      <c r="G203" s="18">
        <v>35392.832000000002</v>
      </c>
      <c r="H203" s="20">
        <v>4.6820000000000004</v>
      </c>
      <c r="I203" s="18">
        <v>100</v>
      </c>
      <c r="J203" s="18">
        <v>0.32100000000000001</v>
      </c>
      <c r="K203" s="18">
        <v>154221.484</v>
      </c>
      <c r="L203" s="18">
        <v>100</v>
      </c>
      <c r="M203" s="18">
        <v>35392.832000000002</v>
      </c>
      <c r="N203" s="18">
        <v>51013.093999999997</v>
      </c>
      <c r="O203" s="18">
        <v>39812.508000000002</v>
      </c>
    </row>
    <row r="204" spans="1:15" s="17" customFormat="1" x14ac:dyDescent="0.3">
      <c r="A204" s="17" t="s">
        <v>67</v>
      </c>
      <c r="B204" s="17">
        <v>2017</v>
      </c>
      <c r="C204" s="17" t="s">
        <v>68</v>
      </c>
      <c r="D204" s="17">
        <v>7645617952</v>
      </c>
      <c r="E204" s="18">
        <v>115000000000000</v>
      </c>
      <c r="F204" s="18">
        <f t="shared" si="7"/>
        <v>15041.295644378544</v>
      </c>
      <c r="G204" s="18">
        <v>35974.608999999997</v>
      </c>
      <c r="H204" s="20">
        <v>4.7050000000000001</v>
      </c>
      <c r="I204" s="18">
        <v>100</v>
      </c>
      <c r="J204" s="18">
        <v>0.314</v>
      </c>
      <c r="K204" s="18">
        <v>157625.31200000001</v>
      </c>
      <c r="L204" s="18">
        <v>100</v>
      </c>
      <c r="M204" s="18">
        <v>35974.605000000003</v>
      </c>
      <c r="N204" s="18">
        <v>51702.663999999997</v>
      </c>
      <c r="O204" s="18">
        <v>40479.065999999999</v>
      </c>
    </row>
    <row r="205" spans="1:15" s="17" customFormat="1" x14ac:dyDescent="0.3">
      <c r="A205" s="17" t="s">
        <v>67</v>
      </c>
      <c r="B205" s="17">
        <v>2018</v>
      </c>
      <c r="C205" s="17" t="s">
        <v>68</v>
      </c>
      <c r="D205" s="17">
        <v>7729902779</v>
      </c>
      <c r="E205" s="18">
        <v>119000000000000</v>
      </c>
      <c r="F205" s="18">
        <f t="shared" si="7"/>
        <v>15394.760245017565</v>
      </c>
      <c r="G205" s="18">
        <v>36734.004000000001</v>
      </c>
      <c r="H205" s="20">
        <v>4.7519999999999998</v>
      </c>
      <c r="I205" s="18">
        <v>100</v>
      </c>
      <c r="J205" s="18">
        <v>0.309</v>
      </c>
      <c r="K205" s="18">
        <v>161806.125</v>
      </c>
      <c r="L205" s="18">
        <v>100</v>
      </c>
      <c r="M205" s="18">
        <v>36734.004000000001</v>
      </c>
      <c r="N205" s="18">
        <v>52139.288999999997</v>
      </c>
      <c r="O205" s="18">
        <v>41362.038999999997</v>
      </c>
    </row>
    <row r="206" spans="1:15" s="17" customFormat="1" x14ac:dyDescent="0.3">
      <c r="A206" s="17" t="s">
        <v>67</v>
      </c>
      <c r="B206" s="17">
        <v>2019</v>
      </c>
      <c r="C206" s="17" t="s">
        <v>68</v>
      </c>
      <c r="D206" s="17">
        <v>7811293699</v>
      </c>
      <c r="E206" s="18">
        <v>122000000000000</v>
      </c>
      <c r="F206" s="18">
        <f t="shared" si="7"/>
        <v>15618.411584705669</v>
      </c>
      <c r="G206" s="18">
        <v>37086.565999999999</v>
      </c>
      <c r="H206" s="20">
        <v>4.7480000000000002</v>
      </c>
      <c r="I206" s="18">
        <v>100</v>
      </c>
      <c r="J206" s="18">
        <v>0.30399999999999999</v>
      </c>
      <c r="K206" s="18">
        <v>163694.609</v>
      </c>
      <c r="L206" s="18">
        <v>100</v>
      </c>
      <c r="M206" s="18">
        <v>37086.565999999999</v>
      </c>
      <c r="N206" s="18">
        <v>52571.34</v>
      </c>
      <c r="O206" s="18">
        <v>41798.785000000003</v>
      </c>
    </row>
    <row r="207" spans="1:15" s="17" customFormat="1" x14ac:dyDescent="0.3">
      <c r="A207" s="17" t="s">
        <v>67</v>
      </c>
      <c r="B207" s="17">
        <v>2020</v>
      </c>
      <c r="C207" s="17" t="s">
        <v>68</v>
      </c>
      <c r="D207" s="17">
        <v>7887001289</v>
      </c>
      <c r="E207" s="18">
        <v>119000000000000</v>
      </c>
      <c r="F207" s="18">
        <f t="shared" si="7"/>
        <v>15088.117224726373</v>
      </c>
      <c r="G207" s="18">
        <v>35158.230000000003</v>
      </c>
      <c r="H207" s="20">
        <v>4.4580000000000002</v>
      </c>
      <c r="I207" s="18">
        <v>100</v>
      </c>
      <c r="J207" s="18">
        <v>0.29599999999999999</v>
      </c>
      <c r="K207" s="18">
        <v>157993.891</v>
      </c>
      <c r="L207" s="18">
        <v>100</v>
      </c>
      <c r="M207" s="18">
        <v>35158.230000000003</v>
      </c>
      <c r="N207" s="18">
        <v>50601.266000000003</v>
      </c>
      <c r="O207" s="18">
        <v>40091.508000000002</v>
      </c>
    </row>
    <row r="208" spans="1:15" s="17" customFormat="1" x14ac:dyDescent="0.3">
      <c r="A208" s="17" t="s">
        <v>67</v>
      </c>
      <c r="B208" s="17">
        <v>2021</v>
      </c>
      <c r="C208" s="17" t="s">
        <v>68</v>
      </c>
      <c r="D208" s="17">
        <v>7954448387</v>
      </c>
      <c r="E208" s="18">
        <v>126000000000000</v>
      </c>
      <c r="F208" s="18">
        <f t="shared" si="7"/>
        <v>15840.19329434867</v>
      </c>
      <c r="G208" s="18">
        <v>36866.862999999998</v>
      </c>
      <c r="H208" s="20">
        <v>4.6349999999999998</v>
      </c>
      <c r="I208" s="18">
        <v>100</v>
      </c>
      <c r="J208" s="18">
        <v>0.29299999999999998</v>
      </c>
      <c r="K208" s="18">
        <v>166043.5</v>
      </c>
      <c r="L208" s="18">
        <v>100</v>
      </c>
      <c r="M208" s="18">
        <v>36866.862999999998</v>
      </c>
      <c r="N208" s="18">
        <v>52639.843999999997</v>
      </c>
      <c r="O208" s="18">
        <v>41943.741999999998</v>
      </c>
    </row>
    <row r="209" spans="1:16" s="17" customFormat="1" x14ac:dyDescent="0.3">
      <c r="A209" s="17" t="s">
        <v>67</v>
      </c>
      <c r="B209" s="17">
        <v>2022</v>
      </c>
      <c r="C209" s="17" t="s">
        <v>68</v>
      </c>
      <c r="D209" s="17">
        <v>8021407196</v>
      </c>
      <c r="E209" s="18">
        <v>130000000000000</v>
      </c>
      <c r="F209" s="18">
        <f t="shared" si="7"/>
        <v>16206.632679715665</v>
      </c>
      <c r="G209" s="18">
        <v>37527.773000000001</v>
      </c>
      <c r="H209" s="20">
        <v>4.6779999999999999</v>
      </c>
      <c r="I209" s="18">
        <v>100</v>
      </c>
      <c r="J209" s="18">
        <v>0.28799999999999998</v>
      </c>
      <c r="K209" s="18">
        <v>169061.53099999999</v>
      </c>
      <c r="L209" s="18">
        <v>100</v>
      </c>
      <c r="M209" s="18">
        <v>37527.773000000001</v>
      </c>
      <c r="N209" s="18">
        <v>53515.586000000003</v>
      </c>
      <c r="O209" s="18">
        <v>42687.125</v>
      </c>
    </row>
    <row r="210" spans="1:16" s="17" customFormat="1" x14ac:dyDescent="0.3">
      <c r="A210" s="17" t="s">
        <v>67</v>
      </c>
      <c r="B210" s="17">
        <v>2023</v>
      </c>
      <c r="C210" s="17" t="s">
        <v>68</v>
      </c>
      <c r="D210" s="17">
        <v>8091734933</v>
      </c>
      <c r="E210" s="18" t="s">
        <v>66</v>
      </c>
      <c r="F210" s="18" t="s">
        <v>66</v>
      </c>
      <c r="G210" s="18">
        <v>38094.038999999997</v>
      </c>
      <c r="H210" s="20">
        <v>4.7080000000000002</v>
      </c>
      <c r="I210" s="18">
        <v>100</v>
      </c>
      <c r="J210" s="18" t="s">
        <v>66</v>
      </c>
      <c r="K210" s="18">
        <v>172238.78099999999</v>
      </c>
      <c r="L210" s="18">
        <v>100</v>
      </c>
      <c r="M210" s="18">
        <v>38094.038999999997</v>
      </c>
      <c r="N210" s="18">
        <v>54092.184000000001</v>
      </c>
      <c r="O210" s="18">
        <v>43274.887000000002</v>
      </c>
    </row>
    <row r="211" spans="1:16" s="17" customFormat="1" x14ac:dyDescent="0.3">
      <c r="A211" s="17" t="s">
        <v>67</v>
      </c>
      <c r="B211" s="17">
        <v>2024</v>
      </c>
      <c r="C211" s="17" t="s">
        <v>68</v>
      </c>
      <c r="D211" s="17">
        <v>8161972574</v>
      </c>
      <c r="E211" s="18" t="s">
        <v>66</v>
      </c>
      <c r="F211" s="18" t="s">
        <v>66</v>
      </c>
      <c r="G211" s="18">
        <v>38598.578000000001</v>
      </c>
      <c r="H211" s="20">
        <v>4.7290000000000001</v>
      </c>
      <c r="I211" s="18">
        <v>100</v>
      </c>
      <c r="J211" s="18" t="s">
        <v>66</v>
      </c>
      <c r="K211" s="18">
        <v>176737.09400000001</v>
      </c>
      <c r="L211" s="18">
        <v>100</v>
      </c>
      <c r="M211" s="18">
        <v>38598.578000000001</v>
      </c>
      <c r="N211" s="18">
        <v>54433.398000000001</v>
      </c>
      <c r="O211" s="18">
        <v>43714.777000000002</v>
      </c>
    </row>
    <row r="212" spans="1:16" x14ac:dyDescent="0.3">
      <c r="A212" s="1" t="s">
        <v>69</v>
      </c>
      <c r="B212" s="1">
        <v>1990</v>
      </c>
      <c r="D212" s="1">
        <v>724943715</v>
      </c>
      <c r="E212" s="2" t="s">
        <v>66</v>
      </c>
      <c r="F212" s="2" t="s">
        <v>66</v>
      </c>
      <c r="G212" s="2">
        <v>8038.8950000000004</v>
      </c>
      <c r="H212" s="20">
        <v>11.093999999999999</v>
      </c>
      <c r="I212" s="2">
        <v>28.704000000000001</v>
      </c>
      <c r="J212" s="2">
        <v>0.60499999999999998</v>
      </c>
      <c r="K212" s="2">
        <v>35388.608999999997</v>
      </c>
      <c r="L212" s="2">
        <v>35.363999999999997</v>
      </c>
      <c r="M212" s="2">
        <v>7742.9409999999998</v>
      </c>
      <c r="N212" s="2">
        <v>10506.21</v>
      </c>
      <c r="O212" s="2">
        <v>9153.4210000000003</v>
      </c>
      <c r="P212" s="2">
        <f>AVERAGE(H212:H246)</f>
        <v>8.2883999999999975</v>
      </c>
    </row>
    <row r="213" spans="1:16" x14ac:dyDescent="0.3">
      <c r="A213" s="1" t="s">
        <v>69</v>
      </c>
      <c r="B213" s="1">
        <v>1991</v>
      </c>
      <c r="D213" s="1">
        <v>727298534</v>
      </c>
      <c r="E213" s="2" t="s">
        <v>66</v>
      </c>
      <c r="F213" s="2" t="s">
        <v>66</v>
      </c>
      <c r="G213" s="2">
        <v>7739.83</v>
      </c>
      <c r="H213" s="20">
        <v>10.646000000000001</v>
      </c>
      <c r="I213" s="2">
        <v>28.638999999999999</v>
      </c>
      <c r="J213" s="2">
        <v>0.58199999999999996</v>
      </c>
      <c r="K213" s="2">
        <v>34862.18</v>
      </c>
      <c r="L213" s="2">
        <v>33.353000000000002</v>
      </c>
      <c r="M213" s="2">
        <v>7612.33</v>
      </c>
      <c r="N213" s="2">
        <v>10184.172</v>
      </c>
      <c r="O213" s="2">
        <v>8820.6509999999998</v>
      </c>
    </row>
    <row r="214" spans="1:16" x14ac:dyDescent="0.3">
      <c r="A214" s="1" t="s">
        <v>69</v>
      </c>
      <c r="B214" s="1">
        <v>1992</v>
      </c>
      <c r="D214" s="1">
        <v>728443297</v>
      </c>
      <c r="E214" s="2" t="s">
        <v>66</v>
      </c>
      <c r="F214" s="2" t="s">
        <v>66</v>
      </c>
      <c r="G214" s="2">
        <v>7094.2960000000003</v>
      </c>
      <c r="H214" s="20">
        <v>9.7430000000000003</v>
      </c>
      <c r="I214" s="2">
        <v>28.536000000000001</v>
      </c>
      <c r="J214" s="2">
        <v>0.54100000000000004</v>
      </c>
      <c r="K214" s="2">
        <v>33621.972999999998</v>
      </c>
      <c r="L214" s="2">
        <v>31.501999999999999</v>
      </c>
      <c r="M214" s="2">
        <v>6562.0879999999997</v>
      </c>
      <c r="N214" s="2">
        <v>9300.8790000000008</v>
      </c>
      <c r="O214" s="2">
        <v>8132.6279999999997</v>
      </c>
    </row>
    <row r="215" spans="1:16" x14ac:dyDescent="0.3">
      <c r="A215" s="1" t="s">
        <v>69</v>
      </c>
      <c r="B215" s="1">
        <v>1993</v>
      </c>
      <c r="D215" s="1">
        <v>728848398</v>
      </c>
      <c r="E215" s="2" t="s">
        <v>66</v>
      </c>
      <c r="F215" s="2" t="s">
        <v>66</v>
      </c>
      <c r="G215" s="2">
        <v>6806.4409999999998</v>
      </c>
      <c r="H215" s="20">
        <v>9.343</v>
      </c>
      <c r="I215" s="2">
        <v>28.413</v>
      </c>
      <c r="J215" s="2">
        <v>0.52400000000000002</v>
      </c>
      <c r="K215" s="2">
        <v>32455.351999999999</v>
      </c>
      <c r="L215" s="2">
        <v>29.919</v>
      </c>
      <c r="M215" s="2">
        <v>6508.3850000000002</v>
      </c>
      <c r="N215" s="2">
        <v>8860.1640000000007</v>
      </c>
      <c r="O215" s="2">
        <v>7802.4989999999998</v>
      </c>
    </row>
    <row r="216" spans="1:16" x14ac:dyDescent="0.3">
      <c r="A216" s="1" t="s">
        <v>69</v>
      </c>
      <c r="B216" s="1">
        <v>1994</v>
      </c>
      <c r="D216" s="1">
        <v>729745970</v>
      </c>
      <c r="E216" s="2" t="s">
        <v>66</v>
      </c>
      <c r="F216" s="2" t="s">
        <v>66</v>
      </c>
      <c r="G216" s="2">
        <v>6445.8689999999997</v>
      </c>
      <c r="H216" s="20">
        <v>8.8369999999999997</v>
      </c>
      <c r="I216" s="2">
        <v>28.242999999999999</v>
      </c>
      <c r="J216" s="2">
        <v>0.49199999999999999</v>
      </c>
      <c r="K216" s="2">
        <v>31162.067999999999</v>
      </c>
      <c r="L216" s="2">
        <v>28.056999999999999</v>
      </c>
      <c r="M216" s="2">
        <v>6360.3680000000004</v>
      </c>
      <c r="N216" s="2">
        <v>8353.56</v>
      </c>
      <c r="O216" s="2">
        <v>7400.0739999999996</v>
      </c>
    </row>
    <row r="217" spans="1:16" x14ac:dyDescent="0.3">
      <c r="A217" s="1" t="s">
        <v>69</v>
      </c>
      <c r="B217" s="1">
        <v>1995</v>
      </c>
      <c r="D217" s="1">
        <v>730260103</v>
      </c>
      <c r="E217" s="2" t="s">
        <v>66</v>
      </c>
      <c r="F217" s="2" t="s">
        <v>66</v>
      </c>
      <c r="G217" s="2">
        <v>6422.4319999999998</v>
      </c>
      <c r="H217" s="20">
        <v>8.7989999999999995</v>
      </c>
      <c r="I217" s="2">
        <v>28.062999999999999</v>
      </c>
      <c r="J217" s="2">
        <v>0.47799999999999998</v>
      </c>
      <c r="K217" s="2">
        <v>31142.173999999999</v>
      </c>
      <c r="L217" s="2">
        <v>27.31</v>
      </c>
      <c r="M217" s="2">
        <v>6357.9110000000001</v>
      </c>
      <c r="N217" s="2">
        <v>8249.3320000000003</v>
      </c>
      <c r="O217" s="2">
        <v>7376.0349999999999</v>
      </c>
    </row>
    <row r="218" spans="1:16" x14ac:dyDescent="0.3">
      <c r="A218" s="1" t="s">
        <v>69</v>
      </c>
      <c r="B218" s="1">
        <v>1996</v>
      </c>
      <c r="D218" s="1">
        <v>730267162</v>
      </c>
      <c r="E218" s="2" t="s">
        <v>66</v>
      </c>
      <c r="F218" s="2" t="s">
        <v>66</v>
      </c>
      <c r="G218" s="2">
        <v>6472.0140000000001</v>
      </c>
      <c r="H218" s="20">
        <v>8.8659999999999997</v>
      </c>
      <c r="I218" s="2">
        <v>27.885999999999999</v>
      </c>
      <c r="J218" s="2">
        <v>0.47099999999999997</v>
      </c>
      <c r="K218" s="2">
        <v>31390.425999999999</v>
      </c>
      <c r="L218" s="2">
        <v>26.707000000000001</v>
      </c>
      <c r="M218" s="2">
        <v>6500.1260000000002</v>
      </c>
      <c r="N218" s="2">
        <v>8630.8320000000003</v>
      </c>
      <c r="O218" s="2">
        <v>7412.0969999999998</v>
      </c>
    </row>
    <row r="219" spans="1:16" x14ac:dyDescent="0.3">
      <c r="A219" s="1" t="s">
        <v>69</v>
      </c>
      <c r="B219" s="1">
        <v>1997</v>
      </c>
      <c r="D219" s="1">
        <v>730339959</v>
      </c>
      <c r="E219" s="2" t="s">
        <v>66</v>
      </c>
      <c r="F219" s="2" t="s">
        <v>66</v>
      </c>
      <c r="G219" s="2">
        <v>6266.6189999999997</v>
      </c>
      <c r="H219" s="20">
        <v>8.5839999999999996</v>
      </c>
      <c r="I219" s="2">
        <v>27.669</v>
      </c>
      <c r="J219" s="2">
        <v>0.441</v>
      </c>
      <c r="K219" s="2">
        <v>30845.057000000001</v>
      </c>
      <c r="L219" s="2">
        <v>25.704000000000001</v>
      </c>
      <c r="M219" s="2">
        <v>6269.3649999999998</v>
      </c>
      <c r="N219" s="2">
        <v>7967.5720000000001</v>
      </c>
      <c r="O219" s="2">
        <v>7183.9229999999998</v>
      </c>
    </row>
    <row r="220" spans="1:16" x14ac:dyDescent="0.3">
      <c r="A220" s="1" t="s">
        <v>69</v>
      </c>
      <c r="B220" s="1">
        <v>1998</v>
      </c>
      <c r="D220" s="1">
        <v>729796180</v>
      </c>
      <c r="E220" s="2" t="s">
        <v>66</v>
      </c>
      <c r="F220" s="2" t="s">
        <v>66</v>
      </c>
      <c r="G220" s="2">
        <v>6240.6229999999996</v>
      </c>
      <c r="H220" s="20">
        <v>8.5549999999999997</v>
      </c>
      <c r="I220" s="2">
        <v>27.466000000000001</v>
      </c>
      <c r="J220" s="2">
        <v>0.42599999999999999</v>
      </c>
      <c r="K220" s="2">
        <v>30945.451000000001</v>
      </c>
      <c r="L220" s="2">
        <v>25.686</v>
      </c>
      <c r="M220" s="2">
        <v>6235.317</v>
      </c>
      <c r="N220" s="2">
        <v>7906.6840000000002</v>
      </c>
      <c r="O220" s="2">
        <v>7102.4170000000004</v>
      </c>
    </row>
    <row r="221" spans="1:16" x14ac:dyDescent="0.3">
      <c r="A221" s="1" t="s">
        <v>69</v>
      </c>
      <c r="B221" s="1">
        <v>1999</v>
      </c>
      <c r="D221" s="1">
        <v>729166727</v>
      </c>
      <c r="E221" s="2" t="s">
        <v>66</v>
      </c>
      <c r="F221" s="2" t="s">
        <v>66</v>
      </c>
      <c r="G221" s="2">
        <v>6156.683</v>
      </c>
      <c r="H221" s="20">
        <v>8.4469999999999992</v>
      </c>
      <c r="I221" s="2">
        <v>27.262</v>
      </c>
      <c r="J221" s="2">
        <v>0.40500000000000003</v>
      </c>
      <c r="K221" s="2">
        <v>30874.370999999999</v>
      </c>
      <c r="L221" s="2">
        <v>24.788</v>
      </c>
      <c r="M221" s="2">
        <v>6187.2539999999999</v>
      </c>
      <c r="N221" s="2">
        <v>7817.1940000000004</v>
      </c>
      <c r="O221" s="2">
        <v>7013.1059999999998</v>
      </c>
    </row>
    <row r="222" spans="1:16" x14ac:dyDescent="0.3">
      <c r="A222" s="1" t="s">
        <v>69</v>
      </c>
      <c r="B222" s="1">
        <v>2000</v>
      </c>
      <c r="D222" s="1">
        <v>729129967</v>
      </c>
      <c r="E222" s="2" t="s">
        <v>66</v>
      </c>
      <c r="F222" s="2" t="s">
        <v>66</v>
      </c>
      <c r="G222" s="2">
        <v>6155.5140000000001</v>
      </c>
      <c r="H222" s="20">
        <v>8.4459999999999997</v>
      </c>
      <c r="I222" s="2">
        <v>27.047000000000001</v>
      </c>
      <c r="J222" s="2">
        <v>0.38400000000000001</v>
      </c>
      <c r="K222" s="2">
        <v>31106.081999999999</v>
      </c>
      <c r="L222" s="2">
        <v>24.128</v>
      </c>
      <c r="M222" s="2">
        <v>6280.098</v>
      </c>
      <c r="N222" s="2">
        <v>7674.1660000000002</v>
      </c>
      <c r="O222" s="2">
        <v>7009.9390000000003</v>
      </c>
    </row>
    <row r="223" spans="1:16" x14ac:dyDescent="0.3">
      <c r="A223" s="1" t="s">
        <v>69</v>
      </c>
      <c r="B223" s="1">
        <v>2001</v>
      </c>
      <c r="D223" s="1">
        <v>729220001</v>
      </c>
      <c r="E223" s="2" t="s">
        <v>66</v>
      </c>
      <c r="F223" s="2" t="s">
        <v>66</v>
      </c>
      <c r="G223" s="2">
        <v>6282.9250000000002</v>
      </c>
      <c r="H223" s="20">
        <v>8.6199999999999992</v>
      </c>
      <c r="I223" s="2">
        <v>26.841999999999999</v>
      </c>
      <c r="J223" s="2">
        <v>0.379</v>
      </c>
      <c r="K223" s="2">
        <v>31522.993999999999</v>
      </c>
      <c r="L223" s="2">
        <v>24.454000000000001</v>
      </c>
      <c r="M223" s="2">
        <v>6436.3779999999997</v>
      </c>
      <c r="N223" s="2">
        <v>7756.66</v>
      </c>
      <c r="O223" s="2">
        <v>7134.0810000000001</v>
      </c>
    </row>
    <row r="224" spans="1:16" x14ac:dyDescent="0.3">
      <c r="A224" s="1" t="s">
        <v>69</v>
      </c>
      <c r="B224" s="1">
        <v>2002</v>
      </c>
      <c r="D224" s="1">
        <v>730126161</v>
      </c>
      <c r="E224" s="2" t="s">
        <v>66</v>
      </c>
      <c r="F224" s="2" t="s">
        <v>66</v>
      </c>
      <c r="G224" s="2">
        <v>6249.4470000000001</v>
      </c>
      <c r="H224" s="20">
        <v>8.5630000000000006</v>
      </c>
      <c r="I224" s="2">
        <v>26.629000000000001</v>
      </c>
      <c r="J224" s="2">
        <v>0.36599999999999999</v>
      </c>
      <c r="K224" s="2">
        <v>31359.562000000002</v>
      </c>
      <c r="L224" s="2">
        <v>23.794</v>
      </c>
      <c r="M224" s="2">
        <v>6417.2030000000004</v>
      </c>
      <c r="N224" s="2">
        <v>7679.3239999999996</v>
      </c>
      <c r="O224" s="2">
        <v>7098.77</v>
      </c>
    </row>
    <row r="225" spans="1:15" x14ac:dyDescent="0.3">
      <c r="A225" s="1" t="s">
        <v>69</v>
      </c>
      <c r="B225" s="1">
        <v>2003</v>
      </c>
      <c r="D225" s="1">
        <v>731394229</v>
      </c>
      <c r="E225" s="2" t="s">
        <v>66</v>
      </c>
      <c r="F225" s="2" t="s">
        <v>66</v>
      </c>
      <c r="G225" s="2">
        <v>6391.0659999999998</v>
      </c>
      <c r="H225" s="20">
        <v>8.7420000000000009</v>
      </c>
      <c r="I225" s="2">
        <v>26.396000000000001</v>
      </c>
      <c r="J225" s="2">
        <v>0.36299999999999999</v>
      </c>
      <c r="K225" s="2">
        <v>31873.655999999999</v>
      </c>
      <c r="L225" s="2">
        <v>23.111999999999998</v>
      </c>
      <c r="M225" s="2">
        <v>6721.2420000000002</v>
      </c>
      <c r="N225" s="2">
        <v>7886.1729999999998</v>
      </c>
      <c r="O225" s="2">
        <v>7245.3630000000003</v>
      </c>
    </row>
    <row r="226" spans="1:15" x14ac:dyDescent="0.3">
      <c r="A226" s="1" t="s">
        <v>69</v>
      </c>
      <c r="B226" s="1">
        <v>2004</v>
      </c>
      <c r="D226" s="1">
        <v>732282324</v>
      </c>
      <c r="E226" s="2" t="s">
        <v>66</v>
      </c>
      <c r="F226" s="2" t="s">
        <v>66</v>
      </c>
      <c r="G226" s="2">
        <v>6419.3760000000002</v>
      </c>
      <c r="H226" s="20">
        <v>8.77</v>
      </c>
      <c r="I226" s="2">
        <v>26.167000000000002</v>
      </c>
      <c r="J226" s="2">
        <v>0.35</v>
      </c>
      <c r="K226" s="2">
        <v>32301.49</v>
      </c>
      <c r="L226" s="2">
        <v>22.437999999999999</v>
      </c>
      <c r="M226" s="2">
        <v>6814.1329999999998</v>
      </c>
      <c r="N226" s="2">
        <v>7879.8450000000003</v>
      </c>
      <c r="O226" s="2">
        <v>7269.4340000000002</v>
      </c>
    </row>
    <row r="227" spans="1:15" x14ac:dyDescent="0.3">
      <c r="A227" s="1" t="s">
        <v>69</v>
      </c>
      <c r="B227" s="1">
        <v>2005</v>
      </c>
      <c r="C227" s="1" t="s">
        <v>70</v>
      </c>
      <c r="D227" s="1">
        <v>733101021</v>
      </c>
      <c r="E227" s="2" t="s">
        <v>66</v>
      </c>
      <c r="F227" s="2" t="s">
        <v>66</v>
      </c>
      <c r="G227" s="2">
        <v>6427.9489999999996</v>
      </c>
      <c r="H227" s="20">
        <v>8.7720000000000002</v>
      </c>
      <c r="I227" s="2">
        <v>25.937000000000001</v>
      </c>
      <c r="J227" s="2">
        <v>0.33700000000000002</v>
      </c>
      <c r="K227" s="2">
        <v>32389.35</v>
      </c>
      <c r="L227" s="2">
        <v>21.716999999999999</v>
      </c>
      <c r="M227" s="2">
        <v>6939.8059999999996</v>
      </c>
      <c r="N227" s="2">
        <v>7925.6779999999999</v>
      </c>
      <c r="O227" s="2">
        <v>7275.7669999999998</v>
      </c>
    </row>
    <row r="228" spans="1:15" x14ac:dyDescent="0.3">
      <c r="A228" s="1" t="s">
        <v>69</v>
      </c>
      <c r="B228" s="1">
        <v>2006</v>
      </c>
      <c r="C228" s="1" t="s">
        <v>70</v>
      </c>
      <c r="D228" s="1">
        <v>733756870</v>
      </c>
      <c r="E228" s="2" t="s">
        <v>66</v>
      </c>
      <c r="F228" s="2" t="s">
        <v>66</v>
      </c>
      <c r="G228" s="2">
        <v>6529.2259999999997</v>
      </c>
      <c r="H228" s="20">
        <v>8.9030000000000005</v>
      </c>
      <c r="I228" s="2">
        <v>25.702000000000002</v>
      </c>
      <c r="J228" s="2">
        <v>0.32600000000000001</v>
      </c>
      <c r="K228" s="2">
        <v>32830.315999999999</v>
      </c>
      <c r="L228" s="2">
        <v>21.341000000000001</v>
      </c>
      <c r="M228" s="2">
        <v>7094.8770000000004</v>
      </c>
      <c r="N228" s="2">
        <v>7987.1419999999998</v>
      </c>
      <c r="O228" s="2">
        <v>7372.3869999999997</v>
      </c>
    </row>
    <row r="229" spans="1:15" x14ac:dyDescent="0.3">
      <c r="A229" s="1" t="s">
        <v>69</v>
      </c>
      <c r="B229" s="1">
        <v>2007</v>
      </c>
      <c r="C229" s="1" t="s">
        <v>70</v>
      </c>
      <c r="D229" s="1">
        <v>734987444</v>
      </c>
      <c r="E229" s="2" t="s">
        <v>66</v>
      </c>
      <c r="F229" s="2" t="s">
        <v>66</v>
      </c>
      <c r="G229" s="2">
        <v>6473.2309999999998</v>
      </c>
      <c r="H229" s="20">
        <v>8.8109999999999999</v>
      </c>
      <c r="I229" s="2">
        <v>25.475000000000001</v>
      </c>
      <c r="J229" s="2">
        <v>0.308</v>
      </c>
      <c r="K229" s="2">
        <v>32589.940999999999</v>
      </c>
      <c r="L229" s="2">
        <v>20.55</v>
      </c>
      <c r="M229" s="2">
        <v>7206.5829999999996</v>
      </c>
      <c r="N229" s="2">
        <v>8072.3940000000002</v>
      </c>
      <c r="O229" s="2">
        <v>7319.0069999999996</v>
      </c>
    </row>
    <row r="230" spans="1:15" x14ac:dyDescent="0.3">
      <c r="A230" s="1" t="s">
        <v>69</v>
      </c>
      <c r="B230" s="1">
        <v>2008</v>
      </c>
      <c r="C230" s="1" t="s">
        <v>70</v>
      </c>
      <c r="D230" s="1">
        <v>736658822</v>
      </c>
      <c r="E230" s="2" t="s">
        <v>66</v>
      </c>
      <c r="F230" s="2" t="s">
        <v>66</v>
      </c>
      <c r="G230" s="2">
        <v>6407.2309999999998</v>
      </c>
      <c r="H230" s="20">
        <v>8.702</v>
      </c>
      <c r="I230" s="2">
        <v>25.242999999999999</v>
      </c>
      <c r="J230" s="2">
        <v>0.29699999999999999</v>
      </c>
      <c r="K230" s="2">
        <v>32504.768</v>
      </c>
      <c r="L230" s="2">
        <v>19.992000000000001</v>
      </c>
      <c r="M230" s="2">
        <v>7168.5540000000001</v>
      </c>
      <c r="N230" s="2">
        <v>7900.5050000000001</v>
      </c>
      <c r="O230" s="2">
        <v>7233.5370000000003</v>
      </c>
    </row>
    <row r="231" spans="1:15" x14ac:dyDescent="0.3">
      <c r="A231" s="1" t="s">
        <v>69</v>
      </c>
      <c r="B231" s="1">
        <v>2009</v>
      </c>
      <c r="C231" s="1" t="s">
        <v>70</v>
      </c>
      <c r="D231" s="1">
        <v>738063440</v>
      </c>
      <c r="E231" s="2" t="s">
        <v>66</v>
      </c>
      <c r="F231" s="2" t="s">
        <v>66</v>
      </c>
      <c r="G231" s="2">
        <v>5893.1260000000002</v>
      </c>
      <c r="H231" s="20">
        <v>7.9880000000000004</v>
      </c>
      <c r="I231" s="2">
        <v>25.013999999999999</v>
      </c>
      <c r="J231" s="2">
        <v>0.28499999999999998</v>
      </c>
      <c r="K231" s="2">
        <v>30545.234</v>
      </c>
      <c r="L231" s="2">
        <v>18.701000000000001</v>
      </c>
      <c r="M231" s="2">
        <v>6523.0029999999997</v>
      </c>
      <c r="N231" s="2">
        <v>7557.5370000000003</v>
      </c>
      <c r="O231" s="2">
        <v>6693.4690000000001</v>
      </c>
    </row>
    <row r="232" spans="1:15" x14ac:dyDescent="0.3">
      <c r="A232" s="1" t="s">
        <v>69</v>
      </c>
      <c r="B232" s="1">
        <v>2010</v>
      </c>
      <c r="C232" s="1" t="s">
        <v>70</v>
      </c>
      <c r="D232" s="1">
        <v>739291483</v>
      </c>
      <c r="E232" s="2" t="s">
        <v>66</v>
      </c>
      <c r="F232" s="2" t="s">
        <v>66</v>
      </c>
      <c r="G232" s="2">
        <v>6117.3590000000004</v>
      </c>
      <c r="H232" s="20">
        <v>8.2789999999999999</v>
      </c>
      <c r="I232" s="2">
        <v>24.786000000000001</v>
      </c>
      <c r="J232" s="2">
        <v>0.28599999999999998</v>
      </c>
      <c r="K232" s="2">
        <v>31746.008000000002</v>
      </c>
      <c r="L232" s="2">
        <v>18.361000000000001</v>
      </c>
      <c r="M232" s="2">
        <v>6795.3140000000003</v>
      </c>
      <c r="N232" s="2">
        <v>7913.067</v>
      </c>
      <c r="O232" s="2">
        <v>6930.0420000000004</v>
      </c>
    </row>
    <row r="233" spans="1:15" x14ac:dyDescent="0.3">
      <c r="A233" s="1" t="s">
        <v>69</v>
      </c>
      <c r="B233" s="1">
        <v>2011</v>
      </c>
      <c r="C233" s="1" t="s">
        <v>70</v>
      </c>
      <c r="D233" s="1">
        <v>740524016</v>
      </c>
      <c r="E233" s="2" t="s">
        <v>66</v>
      </c>
      <c r="F233" s="2" t="s">
        <v>66</v>
      </c>
      <c r="G233" s="2">
        <v>6044.3410000000003</v>
      </c>
      <c r="H233" s="20">
        <v>8.1660000000000004</v>
      </c>
      <c r="I233" s="2">
        <v>24.542000000000002</v>
      </c>
      <c r="J233" s="2">
        <v>0.27400000000000002</v>
      </c>
      <c r="K233" s="2">
        <v>31343.116999999998</v>
      </c>
      <c r="L233" s="2">
        <v>17.53</v>
      </c>
      <c r="M233" s="2">
        <v>6665.7979999999998</v>
      </c>
      <c r="N233" s="2">
        <v>7612.527</v>
      </c>
      <c r="O233" s="2">
        <v>6864.2610000000004</v>
      </c>
    </row>
    <row r="234" spans="1:15" x14ac:dyDescent="0.3">
      <c r="A234" s="1" t="s">
        <v>69</v>
      </c>
      <c r="B234" s="1">
        <v>2012</v>
      </c>
      <c r="C234" s="1" t="s">
        <v>70</v>
      </c>
      <c r="D234" s="1">
        <v>741642607</v>
      </c>
      <c r="E234" s="2" t="s">
        <v>66</v>
      </c>
      <c r="F234" s="2" t="s">
        <v>66</v>
      </c>
      <c r="G234" s="2">
        <v>5998.5990000000002</v>
      </c>
      <c r="H234" s="20">
        <v>8.0920000000000005</v>
      </c>
      <c r="I234" s="2">
        <v>24.315000000000001</v>
      </c>
      <c r="J234" s="2">
        <v>0.27100000000000002</v>
      </c>
      <c r="K234" s="2">
        <v>31273.518</v>
      </c>
      <c r="L234" s="2">
        <v>17.161000000000001</v>
      </c>
      <c r="M234" s="2">
        <v>6512.8980000000001</v>
      </c>
      <c r="N234" s="2">
        <v>7804.7889999999998</v>
      </c>
      <c r="O234" s="2">
        <v>6819.634</v>
      </c>
    </row>
    <row r="235" spans="1:15" x14ac:dyDescent="0.3">
      <c r="A235" s="1" t="s">
        <v>69</v>
      </c>
      <c r="B235" s="1">
        <v>2013</v>
      </c>
      <c r="C235" s="1" t="s">
        <v>70</v>
      </c>
      <c r="D235" s="1">
        <v>742672989</v>
      </c>
      <c r="E235" s="2" t="s">
        <v>66</v>
      </c>
      <c r="F235" s="2" t="s">
        <v>66</v>
      </c>
      <c r="G235" s="2">
        <v>5840.0990000000002</v>
      </c>
      <c r="H235" s="20">
        <v>7.8680000000000003</v>
      </c>
      <c r="I235" s="2">
        <v>24.094999999999999</v>
      </c>
      <c r="J235" s="2">
        <v>0.26200000000000001</v>
      </c>
      <c r="K235" s="2">
        <v>30951.607</v>
      </c>
      <c r="L235" s="2">
        <v>16.556000000000001</v>
      </c>
      <c r="M235" s="2">
        <v>6352.9160000000002</v>
      </c>
      <c r="N235" s="2">
        <v>7540.741</v>
      </c>
      <c r="O235" s="2">
        <v>6652.7120000000004</v>
      </c>
    </row>
    <row r="236" spans="1:15" x14ac:dyDescent="0.3">
      <c r="A236" s="1" t="s">
        <v>69</v>
      </c>
      <c r="B236" s="1">
        <v>2014</v>
      </c>
      <c r="C236" s="1" t="s">
        <v>70</v>
      </c>
      <c r="D236" s="1">
        <v>743860819</v>
      </c>
      <c r="E236" s="2" t="s">
        <v>66</v>
      </c>
      <c r="F236" s="2" t="s">
        <v>66</v>
      </c>
      <c r="G236" s="2">
        <v>5609.1390000000001</v>
      </c>
      <c r="H236" s="20">
        <v>7.5439999999999996</v>
      </c>
      <c r="I236" s="2">
        <v>23.875</v>
      </c>
      <c r="J236" s="2">
        <v>0.248</v>
      </c>
      <c r="K236" s="2">
        <v>30080.322</v>
      </c>
      <c r="L236" s="2">
        <v>15.816000000000001</v>
      </c>
      <c r="M236" s="2">
        <v>6100.7619999999997</v>
      </c>
      <c r="N236" s="2">
        <v>7190.634</v>
      </c>
      <c r="O236" s="2">
        <v>6406.87</v>
      </c>
    </row>
    <row r="237" spans="1:15" x14ac:dyDescent="0.3">
      <c r="A237" s="1" t="s">
        <v>69</v>
      </c>
      <c r="B237" s="1">
        <v>2015</v>
      </c>
      <c r="C237" s="1" t="s">
        <v>70</v>
      </c>
      <c r="D237" s="1">
        <v>745474876</v>
      </c>
      <c r="E237" s="2" t="s">
        <v>66</v>
      </c>
      <c r="F237" s="2" t="s">
        <v>66</v>
      </c>
      <c r="G237" s="2">
        <v>5613.4459999999999</v>
      </c>
      <c r="H237" s="20">
        <v>7.5339999999999998</v>
      </c>
      <c r="I237" s="2">
        <v>23.675999999999998</v>
      </c>
      <c r="J237" s="2">
        <v>0.246</v>
      </c>
      <c r="K237" s="2">
        <v>29977.879000000001</v>
      </c>
      <c r="L237" s="2">
        <v>15.856</v>
      </c>
      <c r="M237" s="2">
        <v>5936.71</v>
      </c>
      <c r="N237" s="2">
        <v>7478.6880000000001</v>
      </c>
      <c r="O237" s="2">
        <v>6407.0150000000003</v>
      </c>
    </row>
    <row r="238" spans="1:15" x14ac:dyDescent="0.3">
      <c r="A238" s="1" t="s">
        <v>69</v>
      </c>
      <c r="B238" s="1">
        <v>2016</v>
      </c>
      <c r="C238" s="1" t="s">
        <v>70</v>
      </c>
      <c r="D238" s="1">
        <v>747258527</v>
      </c>
      <c r="E238" s="2" t="s">
        <v>66</v>
      </c>
      <c r="F238" s="2" t="s">
        <v>66</v>
      </c>
      <c r="G238" s="2">
        <v>5598.0469999999996</v>
      </c>
      <c r="H238" s="20">
        <v>7.4950000000000001</v>
      </c>
      <c r="I238" s="2">
        <v>23.498000000000001</v>
      </c>
      <c r="J238" s="2">
        <v>0.24099999999999999</v>
      </c>
      <c r="K238" s="2">
        <v>30335.357</v>
      </c>
      <c r="L238" s="2">
        <v>15.817</v>
      </c>
      <c r="M238" s="2">
        <v>6028.3890000000001</v>
      </c>
      <c r="N238" s="2">
        <v>7472.9790000000003</v>
      </c>
      <c r="O238" s="2">
        <v>6402.991</v>
      </c>
    </row>
    <row r="239" spans="1:15" x14ac:dyDescent="0.3">
      <c r="A239" s="1" t="s">
        <v>69</v>
      </c>
      <c r="B239" s="1">
        <v>2017</v>
      </c>
      <c r="C239" s="1" t="s">
        <v>70</v>
      </c>
      <c r="D239" s="1">
        <v>748701837</v>
      </c>
      <c r="E239" s="2" t="s">
        <v>66</v>
      </c>
      <c r="F239" s="2" t="s">
        <v>66</v>
      </c>
      <c r="G239" s="2">
        <v>5632.42</v>
      </c>
      <c r="H239" s="20">
        <v>7.5270000000000001</v>
      </c>
      <c r="I239" s="2">
        <v>23.321999999999999</v>
      </c>
      <c r="J239" s="2">
        <v>0.23599999999999999</v>
      </c>
      <c r="K239" s="2">
        <v>30637.148000000001</v>
      </c>
      <c r="L239" s="2">
        <v>15.657</v>
      </c>
      <c r="M239" s="2">
        <v>6043.4290000000001</v>
      </c>
      <c r="N239" s="2">
        <v>7487.0749999999998</v>
      </c>
      <c r="O239" s="2">
        <v>6448.5110000000004</v>
      </c>
    </row>
    <row r="240" spans="1:15" x14ac:dyDescent="0.3">
      <c r="A240" s="1" t="s">
        <v>69</v>
      </c>
      <c r="B240" s="1">
        <v>2018</v>
      </c>
      <c r="C240" s="1" t="s">
        <v>70</v>
      </c>
      <c r="D240" s="1">
        <v>749853945</v>
      </c>
      <c r="E240" s="2" t="s">
        <v>66</v>
      </c>
      <c r="F240" s="2" t="s">
        <v>66</v>
      </c>
      <c r="G240" s="2">
        <v>5613.848</v>
      </c>
      <c r="H240" s="20">
        <v>7.49</v>
      </c>
      <c r="I240" s="2">
        <v>23.148</v>
      </c>
      <c r="J240" s="2">
        <v>0.23</v>
      </c>
      <c r="K240" s="2">
        <v>30958.798999999999</v>
      </c>
      <c r="L240" s="2">
        <v>15.282</v>
      </c>
      <c r="M240" s="2">
        <v>6038.6819999999998</v>
      </c>
      <c r="N240" s="2">
        <v>7428.8050000000003</v>
      </c>
      <c r="O240" s="2">
        <v>6451.1639999999998</v>
      </c>
    </row>
    <row r="241" spans="1:15" x14ac:dyDescent="0.3">
      <c r="A241" s="1" t="s">
        <v>69</v>
      </c>
      <c r="B241" s="1">
        <v>2019</v>
      </c>
      <c r="C241" s="1" t="s">
        <v>70</v>
      </c>
      <c r="D241" s="1">
        <v>750809114</v>
      </c>
      <c r="E241" s="2" t="s">
        <v>66</v>
      </c>
      <c r="F241" s="2" t="s">
        <v>66</v>
      </c>
      <c r="G241" s="2">
        <v>5437.201</v>
      </c>
      <c r="H241" s="20">
        <v>7.2450000000000001</v>
      </c>
      <c r="I241" s="2">
        <v>22.972000000000001</v>
      </c>
      <c r="J241" s="2">
        <v>0.219</v>
      </c>
      <c r="K241" s="2">
        <v>30507.028999999999</v>
      </c>
      <c r="L241" s="2">
        <v>14.661</v>
      </c>
      <c r="M241" s="2">
        <v>5880.52</v>
      </c>
      <c r="N241" s="2">
        <v>7214.96</v>
      </c>
      <c r="O241" s="2">
        <v>6285.2510000000002</v>
      </c>
    </row>
    <row r="242" spans="1:15" x14ac:dyDescent="0.3">
      <c r="A242" s="1" t="s">
        <v>69</v>
      </c>
      <c r="B242" s="1">
        <v>2020</v>
      </c>
      <c r="C242" s="1" t="s">
        <v>70</v>
      </c>
      <c r="D242" s="1">
        <v>750844584</v>
      </c>
      <c r="E242" s="2" t="s">
        <v>66</v>
      </c>
      <c r="F242" s="2" t="s">
        <v>66</v>
      </c>
      <c r="G242" s="2">
        <v>5025.6750000000002</v>
      </c>
      <c r="H242" s="20">
        <v>6.6970000000000001</v>
      </c>
      <c r="I242" s="2">
        <v>22.805</v>
      </c>
      <c r="J242" s="2">
        <v>0.214</v>
      </c>
      <c r="K242" s="2">
        <v>28626.065999999999</v>
      </c>
      <c r="L242" s="2">
        <v>14.294</v>
      </c>
      <c r="M242" s="2">
        <v>5448.2669999999998</v>
      </c>
      <c r="N242" s="2">
        <v>6694.4380000000001</v>
      </c>
      <c r="O242" s="2">
        <v>5849.6859999999997</v>
      </c>
    </row>
    <row r="243" spans="1:15" x14ac:dyDescent="0.3">
      <c r="A243" s="1" t="s">
        <v>69</v>
      </c>
      <c r="B243" s="1">
        <v>2021</v>
      </c>
      <c r="C243" s="1" t="s">
        <v>70</v>
      </c>
      <c r="D243" s="1">
        <v>749949128</v>
      </c>
      <c r="E243" s="2" t="s">
        <v>66</v>
      </c>
      <c r="F243" s="2" t="s">
        <v>66</v>
      </c>
      <c r="G243" s="2">
        <v>5265.4459999999999</v>
      </c>
      <c r="H243" s="20">
        <v>7.0250000000000004</v>
      </c>
      <c r="I243" s="2">
        <v>22.637</v>
      </c>
      <c r="J243" s="2">
        <v>0.21299999999999999</v>
      </c>
      <c r="K243" s="2">
        <v>29823.74</v>
      </c>
      <c r="L243" s="2">
        <v>14.282</v>
      </c>
      <c r="M243" s="2">
        <v>5770.4750000000004</v>
      </c>
      <c r="N243" s="2">
        <v>7014.0429999999997</v>
      </c>
      <c r="O243" s="2">
        <v>6118.9080000000004</v>
      </c>
    </row>
    <row r="244" spans="1:15" x14ac:dyDescent="0.3">
      <c r="A244" s="1" t="s">
        <v>69</v>
      </c>
      <c r="B244" s="1">
        <v>2022</v>
      </c>
      <c r="C244" s="1" t="s">
        <v>70</v>
      </c>
      <c r="D244" s="1">
        <v>748314268</v>
      </c>
      <c r="E244" s="2" t="s">
        <v>66</v>
      </c>
      <c r="F244" s="2" t="s">
        <v>66</v>
      </c>
      <c r="G244" s="2">
        <v>5095.6350000000002</v>
      </c>
      <c r="H244" s="20">
        <v>6.8129999999999997</v>
      </c>
      <c r="I244" s="2">
        <v>22.459</v>
      </c>
      <c r="J244" s="2">
        <v>0.20200000000000001</v>
      </c>
      <c r="K244" s="2">
        <v>29128.344000000001</v>
      </c>
      <c r="L244" s="2">
        <v>13.577999999999999</v>
      </c>
      <c r="M244" s="2">
        <v>5751.6210000000001</v>
      </c>
      <c r="N244" s="2">
        <v>6901.25</v>
      </c>
      <c r="O244" s="2">
        <v>5935.3190000000004</v>
      </c>
    </row>
    <row r="245" spans="1:15" x14ac:dyDescent="0.3">
      <c r="A245" s="1" t="s">
        <v>69</v>
      </c>
      <c r="B245" s="1">
        <v>2023</v>
      </c>
      <c r="C245" s="1" t="s">
        <v>70</v>
      </c>
      <c r="D245" s="1">
        <v>746966209</v>
      </c>
      <c r="E245" s="2" t="s">
        <v>66</v>
      </c>
      <c r="F245" s="2" t="s">
        <v>66</v>
      </c>
      <c r="G245" s="2">
        <v>4887.1369999999997</v>
      </c>
      <c r="H245" s="20">
        <v>6.5460000000000003</v>
      </c>
      <c r="I245" s="2">
        <v>22.277999999999999</v>
      </c>
      <c r="J245" s="2" t="s">
        <v>66</v>
      </c>
      <c r="K245" s="2">
        <v>28746.484</v>
      </c>
      <c r="L245" s="2">
        <v>12.829000000000001</v>
      </c>
      <c r="M245" s="2">
        <v>5586.8159999999998</v>
      </c>
      <c r="N245" s="2">
        <v>6693.6530000000002</v>
      </c>
      <c r="O245" s="2">
        <v>5720.6570000000002</v>
      </c>
    </row>
    <row r="246" spans="1:15" x14ac:dyDescent="0.3">
      <c r="A246" s="1" t="s">
        <v>69</v>
      </c>
      <c r="B246" s="1">
        <v>2024</v>
      </c>
      <c r="C246" s="1" t="s">
        <v>70</v>
      </c>
      <c r="D246" s="1">
        <v>746460441</v>
      </c>
      <c r="E246" s="2" t="s">
        <v>66</v>
      </c>
      <c r="F246" s="2" t="s">
        <v>66</v>
      </c>
      <c r="G246" s="2">
        <v>4880.5140000000001</v>
      </c>
      <c r="H246" s="20">
        <v>6.5419999999999998</v>
      </c>
      <c r="I246" s="2">
        <v>22.103999999999999</v>
      </c>
      <c r="J246" s="2" t="s">
        <v>66</v>
      </c>
      <c r="K246" s="2">
        <v>29280.276999999998</v>
      </c>
      <c r="L246" s="2">
        <v>12.644</v>
      </c>
      <c r="N246" s="2">
        <v>6676.0280000000002</v>
      </c>
      <c r="O246" s="2">
        <v>5717.0360000000001</v>
      </c>
    </row>
  </sheetData>
  <autoFilter ref="A1:L211" xr:uid="{D86AA8A8-6FA6-41BF-B7E4-4C7FEF36A6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79CEA-12DE-49DB-B6F7-D99A192FE548}">
  <dimension ref="A1:D246"/>
  <sheetViews>
    <sheetView workbookViewId="0">
      <selection activeCell="H21" sqref="H21"/>
    </sheetView>
  </sheetViews>
  <sheetFormatPr defaultRowHeight="14.4" x14ac:dyDescent="0.3"/>
  <cols>
    <col min="1" max="1" width="11.88671875" style="1" bestFit="1" customWidth="1"/>
    <col min="2" max="2" width="8.88671875" style="1"/>
    <col min="3" max="3" width="10" style="2" bestFit="1" customWidth="1"/>
    <col min="4" max="4" width="21.5546875" style="2" bestFit="1" customWidth="1"/>
  </cols>
  <sheetData>
    <row r="1" spans="1:4" x14ac:dyDescent="0.3">
      <c r="A1" s="4" t="s">
        <v>0</v>
      </c>
      <c r="B1" s="4" t="s">
        <v>1</v>
      </c>
      <c r="C1" s="5" t="s">
        <v>77</v>
      </c>
      <c r="D1" s="5" t="s">
        <v>74</v>
      </c>
    </row>
    <row r="2" spans="1:4" x14ac:dyDescent="0.3">
      <c r="A2" s="7" t="s">
        <v>5</v>
      </c>
      <c r="B2" s="7">
        <v>1990</v>
      </c>
      <c r="C2" s="8">
        <v>4205.1670000000004</v>
      </c>
      <c r="D2" s="8">
        <v>3050.701</v>
      </c>
    </row>
    <row r="3" spans="1:4" x14ac:dyDescent="0.3">
      <c r="A3" s="7" t="s">
        <v>5</v>
      </c>
      <c r="B3" s="7">
        <v>1991</v>
      </c>
      <c r="C3" s="8">
        <v>4315.0590000000002</v>
      </c>
      <c r="D3" s="8">
        <v>3185.453</v>
      </c>
    </row>
    <row r="4" spans="1:4" x14ac:dyDescent="0.3">
      <c r="A4" s="7" t="s">
        <v>5</v>
      </c>
      <c r="B4" s="7">
        <v>1992</v>
      </c>
      <c r="C4" s="8">
        <v>4445.9560000000001</v>
      </c>
      <c r="D4" s="8">
        <v>3302.529</v>
      </c>
    </row>
    <row r="5" spans="1:4" x14ac:dyDescent="0.3">
      <c r="A5" s="7" t="s">
        <v>5</v>
      </c>
      <c r="B5" s="7">
        <v>1993</v>
      </c>
      <c r="C5" s="8">
        <v>4591.3540000000003</v>
      </c>
      <c r="D5" s="8">
        <v>3497.279</v>
      </c>
    </row>
    <row r="6" spans="1:4" x14ac:dyDescent="0.3">
      <c r="A6" s="7" t="s">
        <v>5</v>
      </c>
      <c r="B6" s="7">
        <v>1994</v>
      </c>
      <c r="C6" s="8">
        <v>4901.6009999999997</v>
      </c>
      <c r="D6" s="8">
        <v>3692.7460000000001</v>
      </c>
    </row>
    <row r="7" spans="1:4" x14ac:dyDescent="0.3">
      <c r="A7" s="7" t="s">
        <v>5</v>
      </c>
      <c r="B7" s="7">
        <v>1995</v>
      </c>
      <c r="C7" s="8">
        <v>5151.2960000000003</v>
      </c>
      <c r="D7" s="8">
        <v>3987.509</v>
      </c>
    </row>
    <row r="8" spans="1:4" x14ac:dyDescent="0.3">
      <c r="A8" s="7" t="s">
        <v>5</v>
      </c>
      <c r="B8" s="7">
        <v>1996</v>
      </c>
      <c r="C8" s="8">
        <v>5359.0309999999999</v>
      </c>
      <c r="D8" s="8">
        <v>4132.8140000000003</v>
      </c>
    </row>
    <row r="9" spans="1:4" x14ac:dyDescent="0.3">
      <c r="A9" s="7" t="s">
        <v>5</v>
      </c>
      <c r="B9" s="7">
        <v>1997</v>
      </c>
      <c r="C9" s="8">
        <v>5318.0640000000003</v>
      </c>
      <c r="D9" s="8">
        <v>4148.0349999999999</v>
      </c>
    </row>
    <row r="10" spans="1:4" x14ac:dyDescent="0.3">
      <c r="A10" s="7" t="s">
        <v>5</v>
      </c>
      <c r="B10" s="7">
        <v>1998</v>
      </c>
      <c r="C10" s="8">
        <v>5195.2790000000005</v>
      </c>
      <c r="D10" s="8">
        <v>3981.5509999999999</v>
      </c>
    </row>
    <row r="11" spans="1:4" x14ac:dyDescent="0.3">
      <c r="A11" s="7" t="s">
        <v>5</v>
      </c>
      <c r="B11" s="7">
        <v>1999</v>
      </c>
      <c r="C11" s="8">
        <v>5342.0720000000001</v>
      </c>
      <c r="D11" s="8">
        <v>4172.7539999999999</v>
      </c>
    </row>
    <row r="12" spans="1:4" x14ac:dyDescent="0.3">
      <c r="A12" s="7" t="s">
        <v>5</v>
      </c>
      <c r="B12" s="7">
        <v>2000</v>
      </c>
      <c r="C12" s="8">
        <v>5282.098</v>
      </c>
      <c r="D12" s="8">
        <v>4281.5630000000001</v>
      </c>
    </row>
    <row r="13" spans="1:4" x14ac:dyDescent="0.3">
      <c r="A13" s="7" t="s">
        <v>5</v>
      </c>
      <c r="B13" s="7">
        <v>2001</v>
      </c>
      <c r="C13" s="8">
        <v>5282.2420000000002</v>
      </c>
      <c r="D13" s="8">
        <v>4380.0029999999997</v>
      </c>
    </row>
    <row r="14" spans="1:4" x14ac:dyDescent="0.3">
      <c r="A14" s="7" t="s">
        <v>5</v>
      </c>
      <c r="B14" s="7">
        <v>2002</v>
      </c>
      <c r="C14" s="8">
        <v>5600.1909999999998</v>
      </c>
      <c r="D14" s="8">
        <v>4772.3010000000004</v>
      </c>
    </row>
    <row r="15" spans="1:4" x14ac:dyDescent="0.3">
      <c r="A15" s="7" t="s">
        <v>5</v>
      </c>
      <c r="B15" s="7">
        <v>2003</v>
      </c>
      <c r="C15" s="8">
        <v>6373.1989999999996</v>
      </c>
      <c r="D15" s="8">
        <v>5576.5349999999999</v>
      </c>
    </row>
    <row r="16" spans="1:4" x14ac:dyDescent="0.3">
      <c r="A16" s="7" t="s">
        <v>5</v>
      </c>
      <c r="B16" s="7">
        <v>2004</v>
      </c>
      <c r="C16" s="8">
        <v>6840.5910000000003</v>
      </c>
      <c r="D16" s="8">
        <v>6015.2619999999997</v>
      </c>
    </row>
    <row r="17" spans="1:4" x14ac:dyDescent="0.3">
      <c r="A17" s="7" t="s">
        <v>5</v>
      </c>
      <c r="B17" s="7">
        <v>2005</v>
      </c>
      <c r="C17" s="8">
        <v>7551.5429999999997</v>
      </c>
      <c r="D17" s="8">
        <v>6746.2889999999998</v>
      </c>
    </row>
    <row r="18" spans="1:4" x14ac:dyDescent="0.3">
      <c r="A18" s="7" t="s">
        <v>5</v>
      </c>
      <c r="B18" s="7">
        <v>2006</v>
      </c>
      <c r="C18" s="8">
        <v>8215.5789999999997</v>
      </c>
      <c r="D18" s="8">
        <v>7403.366</v>
      </c>
    </row>
    <row r="19" spans="1:4" x14ac:dyDescent="0.3">
      <c r="A19" s="7" t="s">
        <v>5</v>
      </c>
      <c r="B19" s="7">
        <v>2007</v>
      </c>
      <c r="C19" s="8">
        <v>8701.73</v>
      </c>
      <c r="D19" s="8">
        <v>7925.848</v>
      </c>
    </row>
    <row r="20" spans="1:4" x14ac:dyDescent="0.3">
      <c r="A20" s="7" t="s">
        <v>5</v>
      </c>
      <c r="B20" s="7">
        <v>2008</v>
      </c>
      <c r="C20" s="8">
        <v>9244.5</v>
      </c>
      <c r="D20" s="8">
        <v>8441.73</v>
      </c>
    </row>
    <row r="21" spans="1:4" x14ac:dyDescent="0.3">
      <c r="A21" s="7" t="s">
        <v>5</v>
      </c>
      <c r="B21" s="7">
        <v>2009</v>
      </c>
      <c r="C21" s="8">
        <v>9644.7070000000003</v>
      </c>
      <c r="D21" s="8">
        <v>8823.625</v>
      </c>
    </row>
    <row r="22" spans="1:4" x14ac:dyDescent="0.3">
      <c r="A22" s="7" t="s">
        <v>5</v>
      </c>
      <c r="B22" s="7">
        <v>2010</v>
      </c>
      <c r="C22" s="8">
        <v>10308.954</v>
      </c>
      <c r="D22" s="8">
        <v>9600.7639999999992</v>
      </c>
    </row>
    <row r="23" spans="1:4" x14ac:dyDescent="0.3">
      <c r="A23" s="7" t="s">
        <v>5</v>
      </c>
      <c r="B23" s="7">
        <v>2011</v>
      </c>
      <c r="C23" s="8">
        <v>11352.635</v>
      </c>
      <c r="D23" s="8">
        <v>10605.287</v>
      </c>
    </row>
    <row r="24" spans="1:4" x14ac:dyDescent="0.3">
      <c r="A24" s="7" t="s">
        <v>5</v>
      </c>
      <c r="B24" s="7">
        <v>2012</v>
      </c>
      <c r="C24" s="8">
        <v>11526.329</v>
      </c>
      <c r="D24" s="8">
        <v>10853.954</v>
      </c>
    </row>
    <row r="25" spans="1:4" x14ac:dyDescent="0.3">
      <c r="A25" s="7" t="s">
        <v>5</v>
      </c>
      <c r="B25" s="7">
        <v>2013</v>
      </c>
      <c r="C25" s="8">
        <v>11692.455</v>
      </c>
      <c r="D25" s="8">
        <v>11041.993</v>
      </c>
    </row>
    <row r="26" spans="1:4" x14ac:dyDescent="0.3">
      <c r="A26" s="7" t="s">
        <v>5</v>
      </c>
      <c r="B26" s="7">
        <v>2014</v>
      </c>
      <c r="C26" s="8">
        <v>11689.33</v>
      </c>
      <c r="D26" s="8">
        <v>11086.678</v>
      </c>
    </row>
    <row r="27" spans="1:4" x14ac:dyDescent="0.3">
      <c r="A27" s="7" t="s">
        <v>5</v>
      </c>
      <c r="B27" s="7">
        <v>2015</v>
      </c>
      <c r="C27" s="8">
        <v>11642.968000000001</v>
      </c>
      <c r="D27" s="8">
        <v>10966.92</v>
      </c>
    </row>
    <row r="28" spans="1:4" x14ac:dyDescent="0.3">
      <c r="A28" s="7" t="s">
        <v>5</v>
      </c>
      <c r="B28" s="7">
        <v>2016</v>
      </c>
      <c r="C28" s="8">
        <v>11382.781000000001</v>
      </c>
      <c r="D28" s="8">
        <v>10814.965</v>
      </c>
    </row>
    <row r="29" spans="1:4" x14ac:dyDescent="0.3">
      <c r="A29" s="7" t="s">
        <v>5</v>
      </c>
      <c r="B29" s="7">
        <v>2017</v>
      </c>
      <c r="C29" s="8">
        <v>11622.924999999999</v>
      </c>
      <c r="D29" s="8">
        <v>11097.793</v>
      </c>
    </row>
    <row r="30" spans="1:4" x14ac:dyDescent="0.3">
      <c r="A30" s="7" t="s">
        <v>5</v>
      </c>
      <c r="B30" s="7">
        <v>2018</v>
      </c>
      <c r="C30" s="8">
        <v>11989.896000000001</v>
      </c>
      <c r="D30" s="8">
        <v>11487.489</v>
      </c>
    </row>
    <row r="31" spans="1:4" x14ac:dyDescent="0.3">
      <c r="A31" s="7" t="s">
        <v>5</v>
      </c>
      <c r="B31" s="7">
        <v>2019</v>
      </c>
      <c r="C31" s="8">
        <v>12322.384</v>
      </c>
      <c r="D31" s="8">
        <v>11888.703</v>
      </c>
    </row>
    <row r="32" spans="1:4" x14ac:dyDescent="0.3">
      <c r="A32" s="7" t="s">
        <v>5</v>
      </c>
      <c r="B32" s="7">
        <v>2020</v>
      </c>
      <c r="C32" s="8">
        <v>12524.050999999999</v>
      </c>
      <c r="D32" s="8">
        <v>12091.771000000001</v>
      </c>
    </row>
    <row r="33" spans="1:4" x14ac:dyDescent="0.3">
      <c r="A33" s="7" t="s">
        <v>5</v>
      </c>
      <c r="B33" s="7">
        <v>2021</v>
      </c>
      <c r="C33" s="8">
        <v>12958.471</v>
      </c>
      <c r="D33" s="8">
        <v>12538.148999999999</v>
      </c>
    </row>
    <row r="34" spans="1:4" x14ac:dyDescent="0.3">
      <c r="A34" s="7" t="s">
        <v>5</v>
      </c>
      <c r="B34" s="7">
        <v>2022</v>
      </c>
      <c r="C34" s="8">
        <v>13446.92</v>
      </c>
      <c r="D34" s="8">
        <v>13031.949000000001</v>
      </c>
    </row>
    <row r="35" spans="1:4" x14ac:dyDescent="0.3">
      <c r="A35" s="7" t="s">
        <v>5</v>
      </c>
      <c r="B35" s="7">
        <v>2023</v>
      </c>
      <c r="C35" s="8">
        <v>13934.404</v>
      </c>
      <c r="D35" s="8">
        <v>13532.396000000001</v>
      </c>
    </row>
    <row r="36" spans="1:4" x14ac:dyDescent="0.3">
      <c r="A36" s="7" t="s">
        <v>5</v>
      </c>
      <c r="B36" s="7">
        <v>2024</v>
      </c>
      <c r="C36" s="8">
        <v>14107.007</v>
      </c>
      <c r="D36" s="8">
        <v>13698.566000000001</v>
      </c>
    </row>
    <row r="37" spans="1:4" x14ac:dyDescent="0.3">
      <c r="A37" s="9" t="s">
        <v>7</v>
      </c>
      <c r="B37" s="9">
        <v>1990</v>
      </c>
      <c r="C37" s="10">
        <v>584.75099999999998</v>
      </c>
      <c r="D37" s="10">
        <v>451.25400000000002</v>
      </c>
    </row>
    <row r="38" spans="1:4" x14ac:dyDescent="0.3">
      <c r="A38" s="9" t="s">
        <v>7</v>
      </c>
      <c r="B38" s="9">
        <v>1991</v>
      </c>
      <c r="C38" s="10">
        <v>638.37699999999995</v>
      </c>
      <c r="D38" s="10">
        <v>481.45400000000001</v>
      </c>
    </row>
    <row r="39" spans="1:4" x14ac:dyDescent="0.3">
      <c r="A39" s="9" t="s">
        <v>7</v>
      </c>
      <c r="B39" s="9">
        <v>1992</v>
      </c>
      <c r="C39" s="10">
        <v>604.32799999999997</v>
      </c>
      <c r="D39" s="10">
        <v>473.14699999999999</v>
      </c>
    </row>
    <row r="40" spans="1:4" x14ac:dyDescent="0.3">
      <c r="A40" s="9" t="s">
        <v>7</v>
      </c>
      <c r="B40" s="9">
        <v>1993</v>
      </c>
      <c r="C40" s="10">
        <v>557.99</v>
      </c>
      <c r="D40" s="10">
        <v>452.178</v>
      </c>
    </row>
    <row r="41" spans="1:4" x14ac:dyDescent="0.3">
      <c r="A41" s="9" t="s">
        <v>7</v>
      </c>
      <c r="B41" s="9">
        <v>1994</v>
      </c>
      <c r="C41" s="10">
        <v>531.35500000000002</v>
      </c>
      <c r="D41" s="10">
        <v>444.00700000000001</v>
      </c>
    </row>
    <row r="42" spans="1:4" x14ac:dyDescent="0.3">
      <c r="A42" s="9" t="s">
        <v>7</v>
      </c>
      <c r="B42" s="9">
        <v>1995</v>
      </c>
      <c r="C42" s="10">
        <v>523.81899999999996</v>
      </c>
      <c r="D42" s="10">
        <v>450.98500000000001</v>
      </c>
    </row>
    <row r="43" spans="1:4" x14ac:dyDescent="0.3">
      <c r="A43" s="9" t="s">
        <v>7</v>
      </c>
      <c r="B43" s="9">
        <v>1996</v>
      </c>
      <c r="C43" s="10">
        <v>531.851</v>
      </c>
      <c r="D43" s="10">
        <v>468.30799999999999</v>
      </c>
    </row>
    <row r="44" spans="1:4" x14ac:dyDescent="0.3">
      <c r="A44" s="9" t="s">
        <v>7</v>
      </c>
      <c r="B44" s="9">
        <v>1997</v>
      </c>
      <c r="C44" s="10">
        <v>506.37200000000001</v>
      </c>
      <c r="D44" s="10">
        <v>455.05900000000003</v>
      </c>
    </row>
    <row r="45" spans="1:4" x14ac:dyDescent="0.3">
      <c r="A45" s="9" t="s">
        <v>7</v>
      </c>
      <c r="B45" s="9">
        <v>1998</v>
      </c>
      <c r="C45" s="10">
        <v>507.601</v>
      </c>
      <c r="D45" s="10">
        <v>463.25200000000001</v>
      </c>
    </row>
    <row r="46" spans="1:4" x14ac:dyDescent="0.3">
      <c r="A46" s="9" t="s">
        <v>7</v>
      </c>
      <c r="B46" s="9">
        <v>1999</v>
      </c>
      <c r="C46" s="10">
        <v>495.17700000000002</v>
      </c>
      <c r="D46" s="10">
        <v>459.30500000000001</v>
      </c>
    </row>
    <row r="47" spans="1:4" x14ac:dyDescent="0.3">
      <c r="A47" s="9" t="s">
        <v>7</v>
      </c>
      <c r="B47" s="9">
        <v>2000</v>
      </c>
      <c r="C47" s="10">
        <v>483.11099999999999</v>
      </c>
      <c r="D47" s="10">
        <v>453.42399999999998</v>
      </c>
    </row>
    <row r="48" spans="1:4" x14ac:dyDescent="0.3">
      <c r="A48" s="9" t="s">
        <v>7</v>
      </c>
      <c r="B48" s="9">
        <v>2001</v>
      </c>
      <c r="C48" s="10">
        <v>478.63600000000002</v>
      </c>
      <c r="D48" s="10">
        <v>456.767</v>
      </c>
    </row>
    <row r="49" spans="1:4" x14ac:dyDescent="0.3">
      <c r="A49" s="9" t="s">
        <v>7</v>
      </c>
      <c r="B49" s="9">
        <v>2002</v>
      </c>
      <c r="C49" s="10">
        <v>471.03100000000001</v>
      </c>
      <c r="D49" s="10">
        <v>451.72199999999998</v>
      </c>
    </row>
    <row r="50" spans="1:4" x14ac:dyDescent="0.3">
      <c r="A50" s="9" t="s">
        <v>7</v>
      </c>
      <c r="B50" s="9">
        <v>2003</v>
      </c>
      <c r="C50" s="10">
        <v>476.79199999999997</v>
      </c>
      <c r="D50" s="10">
        <v>457.983</v>
      </c>
    </row>
    <row r="51" spans="1:4" x14ac:dyDescent="0.3">
      <c r="A51" s="9" t="s">
        <v>7</v>
      </c>
      <c r="B51" s="9">
        <v>2004</v>
      </c>
      <c r="C51" s="10">
        <v>477.93</v>
      </c>
      <c r="D51" s="10">
        <v>458.178</v>
      </c>
    </row>
    <row r="52" spans="1:4" x14ac:dyDescent="0.3">
      <c r="A52" s="9" t="s">
        <v>7</v>
      </c>
      <c r="B52" s="9">
        <v>2005</v>
      </c>
      <c r="C52" s="10">
        <v>477.95600000000002</v>
      </c>
      <c r="D52" s="10">
        <v>459.58699999999999</v>
      </c>
    </row>
    <row r="53" spans="1:4" x14ac:dyDescent="0.3">
      <c r="A53" s="9" t="s">
        <v>7</v>
      </c>
      <c r="B53" s="9">
        <v>2006</v>
      </c>
      <c r="C53" s="10">
        <v>466.45299999999997</v>
      </c>
      <c r="D53" s="10">
        <v>448.10500000000002</v>
      </c>
    </row>
    <row r="54" spans="1:4" x14ac:dyDescent="0.3">
      <c r="A54" s="9" t="s">
        <v>7</v>
      </c>
      <c r="B54" s="9">
        <v>2007</v>
      </c>
      <c r="C54" s="10">
        <v>457.94099999999997</v>
      </c>
      <c r="D54" s="10">
        <v>437.18099999999998</v>
      </c>
    </row>
    <row r="55" spans="1:4" x14ac:dyDescent="0.3">
      <c r="A55" s="9" t="s">
        <v>7</v>
      </c>
      <c r="B55" s="9">
        <v>2008</v>
      </c>
      <c r="C55" s="10">
        <v>452.32900000000001</v>
      </c>
      <c r="D55" s="10">
        <v>430.35500000000002</v>
      </c>
    </row>
    <row r="56" spans="1:4" x14ac:dyDescent="0.3">
      <c r="A56" s="9" t="s">
        <v>7</v>
      </c>
      <c r="B56" s="9">
        <v>2009</v>
      </c>
      <c r="C56" s="10">
        <v>433.11700000000002</v>
      </c>
      <c r="D56" s="10">
        <v>411.09500000000003</v>
      </c>
    </row>
    <row r="57" spans="1:4" x14ac:dyDescent="0.3">
      <c r="A57" s="9" t="s">
        <v>7</v>
      </c>
      <c r="B57" s="9">
        <v>2010</v>
      </c>
      <c r="C57" s="10">
        <v>442.92899999999997</v>
      </c>
      <c r="D57" s="10">
        <v>417.32100000000003</v>
      </c>
    </row>
    <row r="58" spans="1:4" x14ac:dyDescent="0.3">
      <c r="A58" s="9" t="s">
        <v>7</v>
      </c>
      <c r="B58" s="9">
        <v>2011</v>
      </c>
      <c r="C58" s="10">
        <v>417.79599999999999</v>
      </c>
      <c r="D58" s="10">
        <v>393.80399999999997</v>
      </c>
    </row>
    <row r="59" spans="1:4" x14ac:dyDescent="0.3">
      <c r="A59" s="9" t="s">
        <v>7</v>
      </c>
      <c r="B59" s="9">
        <v>2012</v>
      </c>
      <c r="C59" s="10">
        <v>425.88900000000001</v>
      </c>
      <c r="D59" s="10">
        <v>396.41699999999997</v>
      </c>
    </row>
    <row r="60" spans="1:4" x14ac:dyDescent="0.3">
      <c r="A60" s="9" t="s">
        <v>7</v>
      </c>
      <c r="B60" s="9">
        <v>2013</v>
      </c>
      <c r="C60" s="10">
        <v>432.70499999999998</v>
      </c>
      <c r="D60" s="10">
        <v>398.03300000000002</v>
      </c>
    </row>
    <row r="61" spans="1:4" x14ac:dyDescent="0.3">
      <c r="A61" s="9" t="s">
        <v>7</v>
      </c>
      <c r="B61" s="9">
        <v>2014</v>
      </c>
      <c r="C61" s="10">
        <v>401.91699999999997</v>
      </c>
      <c r="D61" s="10">
        <v>364.41699999999997</v>
      </c>
    </row>
    <row r="62" spans="1:4" x14ac:dyDescent="0.3">
      <c r="A62" s="9" t="s">
        <v>7</v>
      </c>
      <c r="B62" s="9">
        <v>2015</v>
      </c>
      <c r="C62" s="10">
        <v>407.67599999999999</v>
      </c>
      <c r="D62" s="10">
        <v>367.35899999999998</v>
      </c>
    </row>
    <row r="63" spans="1:4" x14ac:dyDescent="0.3">
      <c r="A63" s="9" t="s">
        <v>7</v>
      </c>
      <c r="B63" s="9">
        <v>2016</v>
      </c>
      <c r="C63" s="10">
        <v>412.226</v>
      </c>
      <c r="D63" s="10">
        <v>370.86</v>
      </c>
    </row>
    <row r="64" spans="1:4" x14ac:dyDescent="0.3">
      <c r="A64" s="9" t="s">
        <v>7</v>
      </c>
      <c r="B64" s="9">
        <v>2017</v>
      </c>
      <c r="C64" s="10">
        <v>427.92</v>
      </c>
      <c r="D64" s="10">
        <v>374.16800000000001</v>
      </c>
    </row>
    <row r="65" spans="1:4" x14ac:dyDescent="0.3">
      <c r="A65" s="9" t="s">
        <v>7</v>
      </c>
      <c r="B65" s="9">
        <v>2018</v>
      </c>
      <c r="C65" s="10">
        <v>399.24299999999999</v>
      </c>
      <c r="D65" s="10">
        <v>359.495</v>
      </c>
    </row>
    <row r="66" spans="1:4" x14ac:dyDescent="0.3">
      <c r="A66" s="9" t="s">
        <v>7</v>
      </c>
      <c r="B66" s="9">
        <v>2019</v>
      </c>
      <c r="C66" s="10">
        <v>413.09699999999998</v>
      </c>
      <c r="D66" s="10">
        <v>351.154</v>
      </c>
    </row>
    <row r="67" spans="1:4" x14ac:dyDescent="0.3">
      <c r="A67" s="9" t="s">
        <v>7</v>
      </c>
      <c r="B67" s="9">
        <v>2020</v>
      </c>
      <c r="C67" s="10">
        <v>363.79599999999999</v>
      </c>
      <c r="D67" s="10">
        <v>314.11</v>
      </c>
    </row>
    <row r="68" spans="1:4" x14ac:dyDescent="0.3">
      <c r="A68" s="9" t="s">
        <v>7</v>
      </c>
      <c r="B68" s="9">
        <v>2021</v>
      </c>
      <c r="C68" s="10">
        <v>387.60199999999998</v>
      </c>
      <c r="D68" s="10">
        <v>340.20400000000001</v>
      </c>
    </row>
    <row r="69" spans="1:4" x14ac:dyDescent="0.3">
      <c r="A69" s="9" t="s">
        <v>7</v>
      </c>
      <c r="B69" s="9">
        <v>2022</v>
      </c>
      <c r="C69" s="10">
        <v>369.803</v>
      </c>
      <c r="D69" s="10">
        <v>327.29000000000002</v>
      </c>
    </row>
    <row r="70" spans="1:4" x14ac:dyDescent="0.3">
      <c r="A70" s="9" t="s">
        <v>7</v>
      </c>
      <c r="B70" s="9">
        <v>2023</v>
      </c>
      <c r="C70" s="10">
        <v>345.13499999999999</v>
      </c>
      <c r="D70" s="10">
        <v>301.16000000000003</v>
      </c>
    </row>
    <row r="71" spans="1:4" x14ac:dyDescent="0.3">
      <c r="A71" s="9" t="s">
        <v>7</v>
      </c>
      <c r="B71" s="9">
        <v>2024</v>
      </c>
      <c r="C71" s="10">
        <v>337.87599999999998</v>
      </c>
      <c r="D71" s="10">
        <v>294.26</v>
      </c>
    </row>
    <row r="72" spans="1:4" x14ac:dyDescent="0.3">
      <c r="A72" s="11" t="s">
        <v>9</v>
      </c>
      <c r="B72" s="11">
        <v>1990</v>
      </c>
      <c r="C72" s="12">
        <v>1261.087</v>
      </c>
      <c r="D72" s="12">
        <v>1184.1510000000001</v>
      </c>
    </row>
    <row r="73" spans="1:4" x14ac:dyDescent="0.3">
      <c r="A73" s="11" t="s">
        <v>9</v>
      </c>
      <c r="B73" s="11">
        <v>1991</v>
      </c>
      <c r="C73" s="12">
        <v>1217.4090000000001</v>
      </c>
      <c r="D73" s="12">
        <v>1146.546</v>
      </c>
    </row>
    <row r="74" spans="1:4" x14ac:dyDescent="0.3">
      <c r="A74" s="11" t="s">
        <v>9</v>
      </c>
      <c r="B74" s="11">
        <v>1992</v>
      </c>
      <c r="C74" s="12">
        <v>1166.5619999999999</v>
      </c>
      <c r="D74" s="12">
        <v>1096.886</v>
      </c>
    </row>
    <row r="75" spans="1:4" x14ac:dyDescent="0.3">
      <c r="A75" s="11" t="s">
        <v>9</v>
      </c>
      <c r="B75" s="11">
        <v>1993</v>
      </c>
      <c r="C75" s="12">
        <v>1150.585</v>
      </c>
      <c r="D75" s="12">
        <v>1080.721</v>
      </c>
    </row>
    <row r="76" spans="1:4" x14ac:dyDescent="0.3">
      <c r="A76" s="11" t="s">
        <v>9</v>
      </c>
      <c r="B76" s="11">
        <v>1994</v>
      </c>
      <c r="C76" s="12">
        <v>1132.3330000000001</v>
      </c>
      <c r="D76" s="12">
        <v>1063.645</v>
      </c>
    </row>
    <row r="77" spans="1:4" x14ac:dyDescent="0.3">
      <c r="A77" s="11" t="s">
        <v>9</v>
      </c>
      <c r="B77" s="11">
        <v>1995</v>
      </c>
      <c r="C77" s="12">
        <v>1123.8589999999999</v>
      </c>
      <c r="D77" s="12">
        <v>1055.8230000000001</v>
      </c>
    </row>
    <row r="78" spans="1:4" x14ac:dyDescent="0.3">
      <c r="A78" s="11" t="s">
        <v>9</v>
      </c>
      <c r="B78" s="11">
        <v>1996</v>
      </c>
      <c r="C78" s="12">
        <v>1143.8710000000001</v>
      </c>
      <c r="D78" s="12">
        <v>1074.857</v>
      </c>
    </row>
    <row r="79" spans="1:4" x14ac:dyDescent="0.3">
      <c r="A79" s="11" t="s">
        <v>9</v>
      </c>
      <c r="B79" s="11">
        <v>1997</v>
      </c>
      <c r="C79" s="12">
        <v>1109.3900000000001</v>
      </c>
      <c r="D79" s="12">
        <v>1039.211</v>
      </c>
    </row>
    <row r="80" spans="1:4" x14ac:dyDescent="0.3">
      <c r="A80" s="11" t="s">
        <v>9</v>
      </c>
      <c r="B80" s="11">
        <v>1998</v>
      </c>
      <c r="C80" s="12">
        <v>1078.6130000000001</v>
      </c>
      <c r="D80" s="12">
        <v>1011.417</v>
      </c>
    </row>
    <row r="81" spans="1:4" x14ac:dyDescent="0.3">
      <c r="A81" s="11" t="s">
        <v>9</v>
      </c>
      <c r="B81" s="11">
        <v>1999</v>
      </c>
      <c r="C81" s="12">
        <v>1044.6010000000001</v>
      </c>
      <c r="D81" s="12">
        <v>978.76300000000003</v>
      </c>
    </row>
    <row r="82" spans="1:4" x14ac:dyDescent="0.3">
      <c r="A82" s="11" t="s">
        <v>9</v>
      </c>
      <c r="B82" s="11">
        <v>2000</v>
      </c>
      <c r="C82" s="12">
        <v>1042.3109999999999</v>
      </c>
      <c r="D82" s="12">
        <v>978.32</v>
      </c>
    </row>
    <row r="83" spans="1:4" x14ac:dyDescent="0.3">
      <c r="A83" s="11" t="s">
        <v>9</v>
      </c>
      <c r="B83" s="11">
        <v>2001</v>
      </c>
      <c r="C83" s="12">
        <v>1053.2080000000001</v>
      </c>
      <c r="D83" s="12">
        <v>989.11199999999997</v>
      </c>
    </row>
    <row r="84" spans="1:4" x14ac:dyDescent="0.3">
      <c r="A84" s="11" t="s">
        <v>9</v>
      </c>
      <c r="B84" s="11">
        <v>2002</v>
      </c>
      <c r="C84" s="12">
        <v>1034.0820000000001</v>
      </c>
      <c r="D84" s="12">
        <v>969.33299999999997</v>
      </c>
    </row>
    <row r="85" spans="1:4" x14ac:dyDescent="0.3">
      <c r="A85" s="11" t="s">
        <v>9</v>
      </c>
      <c r="B85" s="11">
        <v>2003</v>
      </c>
      <c r="C85" s="12">
        <v>1027.4110000000001</v>
      </c>
      <c r="D85" s="12">
        <v>961.947</v>
      </c>
    </row>
    <row r="86" spans="1:4" x14ac:dyDescent="0.3">
      <c r="A86" s="11" t="s">
        <v>9</v>
      </c>
      <c r="B86" s="11">
        <v>2004</v>
      </c>
      <c r="C86" s="12">
        <v>1007.236</v>
      </c>
      <c r="D86" s="12">
        <v>941.51</v>
      </c>
    </row>
    <row r="87" spans="1:4" x14ac:dyDescent="0.3">
      <c r="A87" s="11" t="s">
        <v>9</v>
      </c>
      <c r="B87" s="11">
        <v>2005</v>
      </c>
      <c r="C87" s="12">
        <v>994.28700000000003</v>
      </c>
      <c r="D87" s="12">
        <v>929.303</v>
      </c>
    </row>
    <row r="88" spans="1:4" x14ac:dyDescent="0.3">
      <c r="A88" s="11" t="s">
        <v>9</v>
      </c>
      <c r="B88" s="11">
        <v>2006</v>
      </c>
      <c r="C88" s="12">
        <v>1010.1079999999999</v>
      </c>
      <c r="D88" s="12">
        <v>946.09500000000003</v>
      </c>
    </row>
    <row r="89" spans="1:4" x14ac:dyDescent="0.3">
      <c r="A89" s="11" t="s">
        <v>9</v>
      </c>
      <c r="B89" s="11">
        <v>2007</v>
      </c>
      <c r="C89" s="12">
        <v>972.65099999999995</v>
      </c>
      <c r="D89" s="12">
        <v>905.26900000000001</v>
      </c>
    </row>
    <row r="90" spans="1:4" x14ac:dyDescent="0.3">
      <c r="A90" s="11" t="s">
        <v>9</v>
      </c>
      <c r="B90" s="11">
        <v>2008</v>
      </c>
      <c r="C90" s="12">
        <v>978.99699999999996</v>
      </c>
      <c r="D90" s="12">
        <v>912.33699999999999</v>
      </c>
    </row>
    <row r="91" spans="1:4" x14ac:dyDescent="0.3">
      <c r="A91" s="11" t="s">
        <v>9</v>
      </c>
      <c r="B91" s="11">
        <v>2009</v>
      </c>
      <c r="C91" s="12">
        <v>905.80499999999995</v>
      </c>
      <c r="D91" s="12">
        <v>842.56500000000005</v>
      </c>
    </row>
    <row r="92" spans="1:4" x14ac:dyDescent="0.3">
      <c r="A92" s="11" t="s">
        <v>9</v>
      </c>
      <c r="B92" s="11">
        <v>2010</v>
      </c>
      <c r="C92" s="12">
        <v>944.31500000000005</v>
      </c>
      <c r="D92" s="12">
        <v>878.14400000000001</v>
      </c>
    </row>
    <row r="93" spans="1:4" x14ac:dyDescent="0.3">
      <c r="A93" s="11" t="s">
        <v>9</v>
      </c>
      <c r="B93" s="11">
        <v>2011</v>
      </c>
      <c r="C93" s="12">
        <v>917.06200000000001</v>
      </c>
      <c r="D93" s="12">
        <v>854.61300000000006</v>
      </c>
    </row>
    <row r="94" spans="1:4" x14ac:dyDescent="0.3">
      <c r="A94" s="11" t="s">
        <v>9</v>
      </c>
      <c r="B94" s="11">
        <v>2012</v>
      </c>
      <c r="C94" s="12">
        <v>928.36500000000001</v>
      </c>
      <c r="D94" s="12">
        <v>862.72199999999998</v>
      </c>
    </row>
    <row r="95" spans="1:4" x14ac:dyDescent="0.3">
      <c r="A95" s="11" t="s">
        <v>9</v>
      </c>
      <c r="B95" s="11">
        <v>2013</v>
      </c>
      <c r="C95" s="12">
        <v>946.15499999999997</v>
      </c>
      <c r="D95" s="12">
        <v>878.82899999999995</v>
      </c>
    </row>
    <row r="96" spans="1:4" x14ac:dyDescent="0.3">
      <c r="A96" s="11" t="s">
        <v>9</v>
      </c>
      <c r="B96" s="11">
        <v>2014</v>
      </c>
      <c r="C96" s="12">
        <v>905.69799999999998</v>
      </c>
      <c r="D96" s="12">
        <v>837.88800000000003</v>
      </c>
    </row>
    <row r="97" spans="1:4" x14ac:dyDescent="0.3">
      <c r="A97" s="11" t="s">
        <v>9</v>
      </c>
      <c r="B97" s="11">
        <v>2015</v>
      </c>
      <c r="C97" s="12">
        <v>911.14200000000005</v>
      </c>
      <c r="D97" s="12">
        <v>845.29499999999996</v>
      </c>
    </row>
    <row r="98" spans="1:4" x14ac:dyDescent="0.3">
      <c r="A98" s="11" t="s">
        <v>9</v>
      </c>
      <c r="B98" s="11">
        <v>2016</v>
      </c>
      <c r="C98" s="12">
        <v>907.17700000000002</v>
      </c>
      <c r="D98" s="12">
        <v>841.16700000000003</v>
      </c>
    </row>
    <row r="99" spans="1:4" x14ac:dyDescent="0.3">
      <c r="A99" s="11" t="s">
        <v>9</v>
      </c>
      <c r="B99" s="11">
        <v>2017</v>
      </c>
      <c r="C99" s="12">
        <v>891.56899999999996</v>
      </c>
      <c r="D99" s="12">
        <v>827.495</v>
      </c>
    </row>
    <row r="100" spans="1:4" x14ac:dyDescent="0.3">
      <c r="A100" s="11" t="s">
        <v>9</v>
      </c>
      <c r="B100" s="11">
        <v>2018</v>
      </c>
      <c r="C100" s="12">
        <v>859.21400000000006</v>
      </c>
      <c r="D100" s="12">
        <v>800.66399999999999</v>
      </c>
    </row>
    <row r="101" spans="1:4" x14ac:dyDescent="0.3">
      <c r="A101" s="11" t="s">
        <v>9</v>
      </c>
      <c r="B101" s="11">
        <v>2019</v>
      </c>
      <c r="C101" s="12">
        <v>808.00099999999998</v>
      </c>
      <c r="D101" s="12">
        <v>748.86199999999997</v>
      </c>
    </row>
    <row r="102" spans="1:4" x14ac:dyDescent="0.3">
      <c r="A102" s="11" t="s">
        <v>9</v>
      </c>
      <c r="B102" s="11">
        <v>2020</v>
      </c>
      <c r="C102" s="12">
        <v>743.81600000000003</v>
      </c>
      <c r="D102" s="12">
        <v>685.84299999999996</v>
      </c>
    </row>
    <row r="103" spans="1:4" x14ac:dyDescent="0.3">
      <c r="A103" s="11" t="s">
        <v>9</v>
      </c>
      <c r="B103" s="11">
        <v>2021</v>
      </c>
      <c r="C103" s="12">
        <v>774.76300000000003</v>
      </c>
      <c r="D103" s="12">
        <v>717.596</v>
      </c>
    </row>
    <row r="104" spans="1:4" x14ac:dyDescent="0.3">
      <c r="A104" s="11" t="s">
        <v>9</v>
      </c>
      <c r="B104" s="11">
        <v>2022</v>
      </c>
      <c r="C104" s="12">
        <v>759.79499999999996</v>
      </c>
      <c r="D104" s="12">
        <v>706.25099999999998</v>
      </c>
    </row>
    <row r="105" spans="1:4" x14ac:dyDescent="0.3">
      <c r="A105" s="11" t="s">
        <v>9</v>
      </c>
      <c r="B105" s="11">
        <v>2023</v>
      </c>
      <c r="C105" s="12">
        <v>683.55899999999997</v>
      </c>
      <c r="D105" s="12">
        <v>629.899</v>
      </c>
    </row>
    <row r="106" spans="1:4" x14ac:dyDescent="0.3">
      <c r="A106" s="11" t="s">
        <v>9</v>
      </c>
      <c r="B106" s="11">
        <v>2024</v>
      </c>
      <c r="C106" s="12">
        <v>659.65499999999997</v>
      </c>
      <c r="D106" s="12">
        <v>608.39700000000005</v>
      </c>
    </row>
    <row r="107" spans="1:4" x14ac:dyDescent="0.3">
      <c r="A107" s="13" t="s">
        <v>11</v>
      </c>
      <c r="B107" s="13">
        <v>1990</v>
      </c>
      <c r="C107" s="14">
        <v>1526.914</v>
      </c>
      <c r="D107" s="14">
        <v>768.94600000000003</v>
      </c>
    </row>
    <row r="108" spans="1:4" x14ac:dyDescent="0.3">
      <c r="A108" s="13" t="s">
        <v>11</v>
      </c>
      <c r="B108" s="13">
        <v>1991</v>
      </c>
      <c r="C108" s="14">
        <v>1561.4269999999999</v>
      </c>
      <c r="D108" s="14">
        <v>811.30200000000002</v>
      </c>
    </row>
    <row r="109" spans="1:4" x14ac:dyDescent="0.3">
      <c r="A109" s="13" t="s">
        <v>11</v>
      </c>
      <c r="B109" s="13">
        <v>1992</v>
      </c>
      <c r="C109" s="14">
        <v>1632.941</v>
      </c>
      <c r="D109" s="14">
        <v>854.53099999999995</v>
      </c>
    </row>
    <row r="110" spans="1:4" x14ac:dyDescent="0.3">
      <c r="A110" s="13" t="s">
        <v>11</v>
      </c>
      <c r="B110" s="13">
        <v>1993</v>
      </c>
      <c r="C110" s="14">
        <v>1638.2940000000001</v>
      </c>
      <c r="D110" s="14">
        <v>872.375</v>
      </c>
    </row>
    <row r="111" spans="1:4" x14ac:dyDescent="0.3">
      <c r="A111" s="13" t="s">
        <v>11</v>
      </c>
      <c r="B111" s="13">
        <v>1994</v>
      </c>
      <c r="C111" s="14">
        <v>1675.7919999999999</v>
      </c>
      <c r="D111" s="14">
        <v>912.83399999999995</v>
      </c>
    </row>
    <row r="112" spans="1:4" x14ac:dyDescent="0.3">
      <c r="A112" s="13" t="s">
        <v>11</v>
      </c>
      <c r="B112" s="13">
        <v>1995</v>
      </c>
      <c r="C112" s="14">
        <v>1712.6030000000001</v>
      </c>
      <c r="D112" s="14">
        <v>966.83799999999997</v>
      </c>
    </row>
    <row r="113" spans="1:4" x14ac:dyDescent="0.3">
      <c r="A113" s="13" t="s">
        <v>11</v>
      </c>
      <c r="B113" s="13">
        <v>1996</v>
      </c>
      <c r="C113" s="14">
        <v>1817.6289999999999</v>
      </c>
      <c r="D113" s="14">
        <v>1034.173</v>
      </c>
    </row>
    <row r="114" spans="1:4" x14ac:dyDescent="0.3">
      <c r="A114" s="13" t="s">
        <v>11</v>
      </c>
      <c r="B114" s="13">
        <v>1997</v>
      </c>
      <c r="C114" s="14">
        <v>1831.317</v>
      </c>
      <c r="D114" s="14">
        <v>1075.385</v>
      </c>
    </row>
    <row r="115" spans="1:4" x14ac:dyDescent="0.3">
      <c r="A115" s="13" t="s">
        <v>11</v>
      </c>
      <c r="B115" s="13">
        <v>1998</v>
      </c>
      <c r="C115" s="14">
        <v>1855.8130000000001</v>
      </c>
      <c r="D115" s="14">
        <v>1093.2940000000001</v>
      </c>
    </row>
    <row r="116" spans="1:4" x14ac:dyDescent="0.3">
      <c r="A116" s="13" t="s">
        <v>11</v>
      </c>
      <c r="B116" s="13">
        <v>1999</v>
      </c>
      <c r="C116" s="14">
        <v>1939.5730000000001</v>
      </c>
      <c r="D116" s="14">
        <v>1183.08</v>
      </c>
    </row>
    <row r="117" spans="1:4" x14ac:dyDescent="0.3">
      <c r="A117" s="13" t="s">
        <v>11</v>
      </c>
      <c r="B117" s="13">
        <v>2000</v>
      </c>
      <c r="C117" s="14">
        <v>2005.885</v>
      </c>
      <c r="D117" s="14">
        <v>1212.075</v>
      </c>
    </row>
    <row r="118" spans="1:4" x14ac:dyDescent="0.3">
      <c r="A118" s="13" t="s">
        <v>11</v>
      </c>
      <c r="B118" s="13">
        <v>2001</v>
      </c>
      <c r="C118" s="14">
        <v>2000.2729999999999</v>
      </c>
      <c r="D118" s="14">
        <v>1228.616</v>
      </c>
    </row>
    <row r="119" spans="1:4" x14ac:dyDescent="0.3">
      <c r="A119" s="13" t="s">
        <v>11</v>
      </c>
      <c r="B119" s="13">
        <v>2002</v>
      </c>
      <c r="C119" s="14">
        <v>1994.0450000000001</v>
      </c>
      <c r="D119" s="14">
        <v>1263.51</v>
      </c>
    </row>
    <row r="120" spans="1:4" x14ac:dyDescent="0.3">
      <c r="A120" s="13" t="s">
        <v>11</v>
      </c>
      <c r="B120" s="13">
        <v>2003</v>
      </c>
      <c r="C120" s="14">
        <v>2059.556</v>
      </c>
      <c r="D120" s="14">
        <v>1305.6990000000001</v>
      </c>
    </row>
    <row r="121" spans="1:4" x14ac:dyDescent="0.3">
      <c r="A121" s="13" t="s">
        <v>11</v>
      </c>
      <c r="B121" s="13">
        <v>2004</v>
      </c>
      <c r="C121" s="14">
        <v>2129.2020000000002</v>
      </c>
      <c r="D121" s="14">
        <v>1378.99</v>
      </c>
    </row>
    <row r="122" spans="1:4" x14ac:dyDescent="0.3">
      <c r="A122" s="13" t="s">
        <v>11</v>
      </c>
      <c r="B122" s="13">
        <v>2005</v>
      </c>
      <c r="C122" s="14">
        <v>2205.413</v>
      </c>
      <c r="D122" s="14">
        <v>1445.2619999999999</v>
      </c>
    </row>
    <row r="123" spans="1:4" x14ac:dyDescent="0.3">
      <c r="A123" s="13" t="s">
        <v>11</v>
      </c>
      <c r="B123" s="13">
        <v>2006</v>
      </c>
      <c r="C123" s="14">
        <v>2324.5940000000001</v>
      </c>
      <c r="D123" s="14">
        <v>1549.979</v>
      </c>
    </row>
    <row r="124" spans="1:4" x14ac:dyDescent="0.3">
      <c r="A124" s="13" t="s">
        <v>11</v>
      </c>
      <c r="B124" s="13">
        <v>2007</v>
      </c>
      <c r="C124" s="14">
        <v>2485.674</v>
      </c>
      <c r="D124" s="14">
        <v>1660.1120000000001</v>
      </c>
    </row>
    <row r="125" spans="1:4" x14ac:dyDescent="0.3">
      <c r="A125" s="13" t="s">
        <v>11</v>
      </c>
      <c r="B125" s="13">
        <v>2008</v>
      </c>
      <c r="C125" s="14">
        <v>2641.3310000000001</v>
      </c>
      <c r="D125" s="14">
        <v>1768.2819999999999</v>
      </c>
    </row>
    <row r="126" spans="1:4" x14ac:dyDescent="0.3">
      <c r="A126" s="13" t="s">
        <v>11</v>
      </c>
      <c r="B126" s="13">
        <v>2009</v>
      </c>
      <c r="C126" s="14">
        <v>2738.05</v>
      </c>
      <c r="D126" s="14">
        <v>1903.1489999999999</v>
      </c>
    </row>
    <row r="127" spans="1:4" x14ac:dyDescent="0.3">
      <c r="A127" s="13" t="s">
        <v>11</v>
      </c>
      <c r="B127" s="13">
        <v>2010</v>
      </c>
      <c r="C127" s="14">
        <v>2848.1309999999999</v>
      </c>
      <c r="D127" s="14">
        <v>1973.835</v>
      </c>
    </row>
    <row r="128" spans="1:4" x14ac:dyDescent="0.3">
      <c r="A128" s="13" t="s">
        <v>11</v>
      </c>
      <c r="B128" s="13">
        <v>2011</v>
      </c>
      <c r="C128" s="14">
        <v>2950.3429999999998</v>
      </c>
      <c r="D128" s="14">
        <v>2072.2869999999998</v>
      </c>
    </row>
    <row r="129" spans="1:4" x14ac:dyDescent="0.3">
      <c r="A129" s="13" t="s">
        <v>11</v>
      </c>
      <c r="B129" s="13">
        <v>2012</v>
      </c>
      <c r="C129" s="14">
        <v>3164.01</v>
      </c>
      <c r="D129" s="14">
        <v>2245.1579999999999</v>
      </c>
    </row>
    <row r="130" spans="1:4" x14ac:dyDescent="0.3">
      <c r="A130" s="13" t="s">
        <v>11</v>
      </c>
      <c r="B130" s="13">
        <v>2013</v>
      </c>
      <c r="C130" s="14">
        <v>3124.7719999999999</v>
      </c>
      <c r="D130" s="14">
        <v>2286.2550000000001</v>
      </c>
    </row>
    <row r="131" spans="1:4" x14ac:dyDescent="0.3">
      <c r="A131" s="13" t="s">
        <v>11</v>
      </c>
      <c r="B131" s="13">
        <v>2014</v>
      </c>
      <c r="C131" s="14">
        <v>3216.8670000000002</v>
      </c>
      <c r="D131" s="14">
        <v>2449.3020000000001</v>
      </c>
    </row>
    <row r="132" spans="1:4" x14ac:dyDescent="0.3">
      <c r="A132" s="13" t="s">
        <v>11</v>
      </c>
      <c r="B132" s="13">
        <v>2015</v>
      </c>
      <c r="C132" s="14">
        <v>3290.4229999999998</v>
      </c>
      <c r="D132" s="14">
        <v>2539.29</v>
      </c>
    </row>
    <row r="133" spans="1:4" x14ac:dyDescent="0.3">
      <c r="A133" s="13" t="s">
        <v>11</v>
      </c>
      <c r="B133" s="13">
        <v>2016</v>
      </c>
      <c r="C133" s="14">
        <v>3365.011</v>
      </c>
      <c r="D133" s="14">
        <v>2663.6379999999999</v>
      </c>
    </row>
    <row r="134" spans="1:4" x14ac:dyDescent="0.3">
      <c r="A134" s="13" t="s">
        <v>11</v>
      </c>
      <c r="B134" s="13">
        <v>2017</v>
      </c>
      <c r="C134" s="14">
        <v>3415.989</v>
      </c>
      <c r="D134" s="14">
        <v>2741.299</v>
      </c>
    </row>
    <row r="135" spans="1:4" x14ac:dyDescent="0.3">
      <c r="A135" s="13" t="s">
        <v>11</v>
      </c>
      <c r="B135" s="13">
        <v>2018</v>
      </c>
      <c r="C135" s="14">
        <v>3616.201</v>
      </c>
      <c r="D135" s="14">
        <v>2923.1729999999998</v>
      </c>
    </row>
    <row r="136" spans="1:4" x14ac:dyDescent="0.3">
      <c r="A136" s="13" t="s">
        <v>11</v>
      </c>
      <c r="B136" s="13">
        <v>2019</v>
      </c>
      <c r="C136" s="14">
        <v>3613.0010000000002</v>
      </c>
      <c r="D136" s="14">
        <v>2937.4949999999999</v>
      </c>
    </row>
    <row r="137" spans="1:4" x14ac:dyDescent="0.3">
      <c r="A137" s="13" t="s">
        <v>11</v>
      </c>
      <c r="B137" s="13">
        <v>2020</v>
      </c>
      <c r="C137" s="14">
        <v>3436.4290000000001</v>
      </c>
      <c r="D137" s="14">
        <v>2742.09</v>
      </c>
    </row>
    <row r="138" spans="1:4" x14ac:dyDescent="0.3">
      <c r="A138" s="13" t="s">
        <v>11</v>
      </c>
      <c r="B138" s="13">
        <v>2021</v>
      </c>
      <c r="C138" s="14">
        <v>3697.6149999999998</v>
      </c>
      <c r="D138" s="14">
        <v>3013.5459999999998</v>
      </c>
    </row>
    <row r="139" spans="1:4" x14ac:dyDescent="0.3">
      <c r="A139" s="13" t="s">
        <v>11</v>
      </c>
      <c r="B139" s="13">
        <v>2022</v>
      </c>
      <c r="C139" s="14">
        <v>3869.9949999999999</v>
      </c>
      <c r="D139" s="14">
        <v>3185.2759999999998</v>
      </c>
    </row>
    <row r="140" spans="1:4" x14ac:dyDescent="0.3">
      <c r="A140" s="13" t="s">
        <v>11</v>
      </c>
      <c r="B140" s="13">
        <v>2023</v>
      </c>
      <c r="C140" s="14">
        <v>4121.424</v>
      </c>
      <c r="D140" s="14">
        <v>3431.9679999999998</v>
      </c>
    </row>
    <row r="141" spans="1:4" x14ac:dyDescent="0.3">
      <c r="A141" s="13" t="s">
        <v>11</v>
      </c>
      <c r="B141" s="13">
        <v>2024</v>
      </c>
      <c r="C141" s="14">
        <v>4262.4110000000001</v>
      </c>
      <c r="D141" s="14">
        <v>3571.002</v>
      </c>
    </row>
    <row r="142" spans="1:4" x14ac:dyDescent="0.3">
      <c r="A142" s="15" t="s">
        <v>13</v>
      </c>
      <c r="B142" s="15">
        <v>1990</v>
      </c>
      <c r="C142" s="16">
        <v>6489.2879999999996</v>
      </c>
      <c r="D142" s="16">
        <v>5886.5529999999999</v>
      </c>
    </row>
    <row r="143" spans="1:4" x14ac:dyDescent="0.3">
      <c r="A143" s="15" t="s">
        <v>13</v>
      </c>
      <c r="B143" s="15">
        <v>1991</v>
      </c>
      <c r="C143" s="16">
        <v>6393.4639999999999</v>
      </c>
      <c r="D143" s="16">
        <v>5823.643</v>
      </c>
    </row>
    <row r="144" spans="1:4" x14ac:dyDescent="0.3">
      <c r="A144" s="15" t="s">
        <v>13</v>
      </c>
      <c r="B144" s="15">
        <v>1992</v>
      </c>
      <c r="C144" s="16">
        <v>6464.0209999999997</v>
      </c>
      <c r="D144" s="16">
        <v>5929.3289999999997</v>
      </c>
    </row>
    <row r="145" spans="1:4" x14ac:dyDescent="0.3">
      <c r="A145" s="15" t="s">
        <v>13</v>
      </c>
      <c r="B145" s="15">
        <v>1993</v>
      </c>
      <c r="C145" s="16">
        <v>6552.8</v>
      </c>
      <c r="D145" s="16">
        <v>6031.4170000000004</v>
      </c>
    </row>
    <row r="146" spans="1:4" x14ac:dyDescent="0.3">
      <c r="A146" s="15" t="s">
        <v>13</v>
      </c>
      <c r="B146" s="15">
        <v>1994</v>
      </c>
      <c r="C146" s="16">
        <v>6686.3320000000003</v>
      </c>
      <c r="D146" s="16">
        <v>6118.6629999999996</v>
      </c>
    </row>
    <row r="147" spans="1:4" x14ac:dyDescent="0.3">
      <c r="A147" s="15" t="s">
        <v>13</v>
      </c>
      <c r="B147" s="15">
        <v>1995</v>
      </c>
      <c r="C147" s="16">
        <v>6642.1419999999998</v>
      </c>
      <c r="D147" s="16">
        <v>6167.5410000000002</v>
      </c>
    </row>
    <row r="148" spans="1:4" x14ac:dyDescent="0.3">
      <c r="A148" s="15" t="s">
        <v>13</v>
      </c>
      <c r="B148" s="15">
        <v>1996</v>
      </c>
      <c r="C148" s="16">
        <v>6806.6760000000004</v>
      </c>
      <c r="D148" s="16">
        <v>6339.518</v>
      </c>
    </row>
    <row r="149" spans="1:4" x14ac:dyDescent="0.3">
      <c r="A149" s="15" t="s">
        <v>13</v>
      </c>
      <c r="B149" s="15">
        <v>1997</v>
      </c>
      <c r="C149" s="16">
        <v>6885.4089999999997</v>
      </c>
      <c r="D149" s="16">
        <v>6407.5780000000004</v>
      </c>
    </row>
    <row r="150" spans="1:4" x14ac:dyDescent="0.3">
      <c r="A150" s="15" t="s">
        <v>13</v>
      </c>
      <c r="B150" s="15">
        <v>1998</v>
      </c>
      <c r="C150" s="16">
        <v>6926.7820000000002</v>
      </c>
      <c r="D150" s="16">
        <v>6454.8689999999997</v>
      </c>
    </row>
    <row r="151" spans="1:4" x14ac:dyDescent="0.3">
      <c r="A151" s="15" t="s">
        <v>13</v>
      </c>
      <c r="B151" s="15">
        <v>1999</v>
      </c>
      <c r="C151" s="16">
        <v>7014.8959999999997</v>
      </c>
      <c r="D151" s="16">
        <v>6505.3869999999997</v>
      </c>
    </row>
    <row r="152" spans="1:4" x14ac:dyDescent="0.3">
      <c r="A152" s="15" t="s">
        <v>13</v>
      </c>
      <c r="B152" s="15">
        <v>2000</v>
      </c>
      <c r="C152" s="16">
        <v>7217.24</v>
      </c>
      <c r="D152" s="16">
        <v>6723.9769999999999</v>
      </c>
    </row>
    <row r="153" spans="1:4" x14ac:dyDescent="0.3">
      <c r="A153" s="15" t="s">
        <v>13</v>
      </c>
      <c r="B153" s="15">
        <v>2001</v>
      </c>
      <c r="C153" s="16">
        <v>6976.3440000000001</v>
      </c>
      <c r="D153" s="16">
        <v>6576.0339999999997</v>
      </c>
    </row>
    <row r="154" spans="1:4" x14ac:dyDescent="0.3">
      <c r="A154" s="15" t="s">
        <v>13</v>
      </c>
      <c r="B154" s="15">
        <v>2002</v>
      </c>
      <c r="C154" s="16">
        <v>7059.1109999999999</v>
      </c>
      <c r="D154" s="16">
        <v>6598.4189999999999</v>
      </c>
    </row>
    <row r="155" spans="1:4" x14ac:dyDescent="0.3">
      <c r="A155" s="15" t="s">
        <v>13</v>
      </c>
      <c r="B155" s="15">
        <v>2003</v>
      </c>
      <c r="C155" s="16">
        <v>7245.4480000000003</v>
      </c>
      <c r="D155" s="16">
        <v>6664.0810000000001</v>
      </c>
    </row>
    <row r="156" spans="1:4" x14ac:dyDescent="0.3">
      <c r="A156" s="15" t="s">
        <v>13</v>
      </c>
      <c r="B156" s="15">
        <v>2004</v>
      </c>
      <c r="C156" s="16">
        <v>7314.6670000000004</v>
      </c>
      <c r="D156" s="16">
        <v>6770.9080000000004</v>
      </c>
    </row>
    <row r="157" spans="1:4" x14ac:dyDescent="0.3">
      <c r="A157" s="15" t="s">
        <v>13</v>
      </c>
      <c r="B157" s="15">
        <v>2005</v>
      </c>
      <c r="C157" s="16">
        <v>7428.8</v>
      </c>
      <c r="D157" s="16">
        <v>6792.1390000000001</v>
      </c>
    </row>
    <row r="158" spans="1:4" x14ac:dyDescent="0.3">
      <c r="A158" s="15" t="s">
        <v>13</v>
      </c>
      <c r="B158" s="15">
        <v>2006</v>
      </c>
      <c r="C158" s="16">
        <v>7064.8770000000004</v>
      </c>
      <c r="D158" s="16">
        <v>6721.1390000000001</v>
      </c>
    </row>
    <row r="159" spans="1:4" x14ac:dyDescent="0.3">
      <c r="A159" s="15" t="s">
        <v>13</v>
      </c>
      <c r="B159" s="15">
        <v>2007</v>
      </c>
      <c r="C159" s="16">
        <v>7181.5159999999996</v>
      </c>
      <c r="D159" s="16">
        <v>6806.6509999999998</v>
      </c>
    </row>
    <row r="160" spans="1:4" x14ac:dyDescent="0.3">
      <c r="A160" s="15" t="s">
        <v>13</v>
      </c>
      <c r="B160" s="15">
        <v>2008</v>
      </c>
      <c r="C160" s="16">
        <v>7074.3329999999996</v>
      </c>
      <c r="D160" s="16">
        <v>6613.2920000000004</v>
      </c>
    </row>
    <row r="161" spans="1:4" x14ac:dyDescent="0.3">
      <c r="A161" s="15" t="s">
        <v>13</v>
      </c>
      <c r="B161" s="15">
        <v>2009</v>
      </c>
      <c r="C161" s="16">
        <v>6577.9179999999997</v>
      </c>
      <c r="D161" s="16">
        <v>6136.3850000000002</v>
      </c>
    </row>
    <row r="162" spans="1:4" x14ac:dyDescent="0.3">
      <c r="A162" s="15" t="s">
        <v>13</v>
      </c>
      <c r="B162" s="15">
        <v>2010</v>
      </c>
      <c r="C162" s="16">
        <v>6823.5230000000001</v>
      </c>
      <c r="D162" s="16">
        <v>6307.125</v>
      </c>
    </row>
    <row r="163" spans="1:4" x14ac:dyDescent="0.3">
      <c r="A163" s="15" t="s">
        <v>13</v>
      </c>
      <c r="B163" s="15">
        <v>2011</v>
      </c>
      <c r="C163" s="16">
        <v>6523.64</v>
      </c>
      <c r="D163" s="16">
        <v>6186.2269999999999</v>
      </c>
    </row>
    <row r="164" spans="1:4" x14ac:dyDescent="0.3">
      <c r="A164" s="15" t="s">
        <v>13</v>
      </c>
      <c r="B164" s="15">
        <v>2012</v>
      </c>
      <c r="C164" s="16">
        <v>6388.7079999999996</v>
      </c>
      <c r="D164" s="16">
        <v>5962.1639999999998</v>
      </c>
    </row>
    <row r="165" spans="1:4" x14ac:dyDescent="0.3">
      <c r="A165" s="15" t="s">
        <v>13</v>
      </c>
      <c r="B165" s="15">
        <v>2013</v>
      </c>
      <c r="C165" s="16">
        <v>6488.665</v>
      </c>
      <c r="D165" s="16">
        <v>6108.991</v>
      </c>
    </row>
    <row r="166" spans="1:4" x14ac:dyDescent="0.3">
      <c r="A166" s="15" t="s">
        <v>13</v>
      </c>
      <c r="B166" s="15">
        <v>2014</v>
      </c>
      <c r="C166" s="16">
        <v>6610.7669999999998</v>
      </c>
      <c r="D166" s="16">
        <v>6180.7190000000001</v>
      </c>
    </row>
    <row r="167" spans="1:4" x14ac:dyDescent="0.3">
      <c r="A167" s="15" t="s">
        <v>13</v>
      </c>
      <c r="B167" s="15">
        <v>2015</v>
      </c>
      <c r="C167" s="16">
        <v>6408.2860000000001</v>
      </c>
      <c r="D167" s="16">
        <v>6005.9319999999998</v>
      </c>
    </row>
    <row r="168" spans="1:4" x14ac:dyDescent="0.3">
      <c r="A168" s="15" t="s">
        <v>13</v>
      </c>
      <c r="B168" s="15">
        <v>2016</v>
      </c>
      <c r="C168" s="16">
        <v>6308.6170000000002</v>
      </c>
      <c r="D168" s="16">
        <v>5852.134</v>
      </c>
    </row>
    <row r="169" spans="1:4" x14ac:dyDescent="0.3">
      <c r="A169" s="15" t="s">
        <v>13</v>
      </c>
      <c r="B169" s="15">
        <v>2017</v>
      </c>
      <c r="C169" s="16">
        <v>6319.2250000000004</v>
      </c>
      <c r="D169" s="16">
        <v>5815.0810000000001</v>
      </c>
    </row>
    <row r="170" spans="1:4" x14ac:dyDescent="0.3">
      <c r="A170" s="15" t="s">
        <v>13</v>
      </c>
      <c r="B170" s="15">
        <v>2018</v>
      </c>
      <c r="C170" s="16">
        <v>6466.7370000000001</v>
      </c>
      <c r="D170" s="16">
        <v>6005.3329999999996</v>
      </c>
    </row>
    <row r="171" spans="1:4" x14ac:dyDescent="0.3">
      <c r="A171" s="15" t="s">
        <v>13</v>
      </c>
      <c r="B171" s="15">
        <v>2019</v>
      </c>
      <c r="C171" s="16">
        <v>6360.7870000000003</v>
      </c>
      <c r="D171" s="16">
        <v>5899.8090000000002</v>
      </c>
    </row>
    <row r="172" spans="1:4" x14ac:dyDescent="0.3">
      <c r="A172" s="15" t="s">
        <v>13</v>
      </c>
      <c r="B172" s="15">
        <v>2020</v>
      </c>
      <c r="C172" s="16">
        <v>5758.4560000000001</v>
      </c>
      <c r="D172" s="16">
        <v>5309.8559999999998</v>
      </c>
    </row>
    <row r="173" spans="1:4" x14ac:dyDescent="0.3">
      <c r="A173" s="15" t="s">
        <v>13</v>
      </c>
      <c r="B173" s="15">
        <v>2021</v>
      </c>
      <c r="C173" s="16">
        <v>6131.1289999999999</v>
      </c>
      <c r="D173" s="16">
        <v>5675.3050000000003</v>
      </c>
    </row>
    <row r="174" spans="1:4" x14ac:dyDescent="0.3">
      <c r="A174" s="15" t="s">
        <v>13</v>
      </c>
      <c r="B174" s="15">
        <v>2022</v>
      </c>
      <c r="C174" s="16">
        <v>6201.5039999999999</v>
      </c>
      <c r="D174" s="16">
        <v>5728.2650000000003</v>
      </c>
    </row>
    <row r="175" spans="1:4" x14ac:dyDescent="0.3">
      <c r="A175" s="15" t="s">
        <v>13</v>
      </c>
      <c r="B175" s="15">
        <v>2023</v>
      </c>
      <c r="C175" s="16">
        <v>6078.4549999999999</v>
      </c>
      <c r="D175" s="16">
        <v>5606.2430000000004</v>
      </c>
    </row>
    <row r="176" spans="1:4" x14ac:dyDescent="0.3">
      <c r="A176" s="15" t="s">
        <v>13</v>
      </c>
      <c r="B176" s="15">
        <v>2024</v>
      </c>
      <c r="C176" s="16">
        <v>6054.308</v>
      </c>
      <c r="D176" s="16">
        <v>5594.31</v>
      </c>
    </row>
    <row r="177" spans="1:4" x14ac:dyDescent="0.3">
      <c r="A177" s="17" t="s">
        <v>67</v>
      </c>
      <c r="B177" s="17">
        <v>1990</v>
      </c>
      <c r="C177" s="18">
        <v>37574.773000000001</v>
      </c>
      <c r="D177" s="18">
        <v>26666.187999999998</v>
      </c>
    </row>
    <row r="178" spans="1:4" x14ac:dyDescent="0.3">
      <c r="A178" s="17" t="s">
        <v>67</v>
      </c>
      <c r="B178" s="17">
        <v>1991</v>
      </c>
      <c r="C178" s="18">
        <v>37889.741999999998</v>
      </c>
      <c r="D178" s="18">
        <v>27100.34</v>
      </c>
    </row>
    <row r="179" spans="1:4" x14ac:dyDescent="0.3">
      <c r="A179" s="17" t="s">
        <v>67</v>
      </c>
      <c r="B179" s="17">
        <v>1992</v>
      </c>
      <c r="C179" s="18">
        <v>37455.108999999997</v>
      </c>
      <c r="D179" s="18">
        <v>26432.863000000001</v>
      </c>
    </row>
    <row r="180" spans="1:4" x14ac:dyDescent="0.3">
      <c r="A180" s="17" t="s">
        <v>67</v>
      </c>
      <c r="B180" s="17">
        <v>1993</v>
      </c>
      <c r="C180" s="18">
        <v>37427.730000000003</v>
      </c>
      <c r="D180" s="18">
        <v>26668.346000000001</v>
      </c>
    </row>
    <row r="181" spans="1:4" x14ac:dyDescent="0.3">
      <c r="A181" s="17" t="s">
        <v>67</v>
      </c>
      <c r="B181" s="17">
        <v>1994</v>
      </c>
      <c r="C181" s="18">
        <v>38666.152000000002</v>
      </c>
      <c r="D181" s="18">
        <v>26925.629000000001</v>
      </c>
    </row>
    <row r="182" spans="1:4" x14ac:dyDescent="0.3">
      <c r="A182" s="17" t="s">
        <v>67</v>
      </c>
      <c r="B182" s="17">
        <v>1995</v>
      </c>
      <c r="C182" s="18">
        <v>38933.976999999999</v>
      </c>
      <c r="D182" s="18">
        <v>27528.576000000001</v>
      </c>
    </row>
    <row r="183" spans="1:4" x14ac:dyDescent="0.3">
      <c r="A183" s="17" t="s">
        <v>67</v>
      </c>
      <c r="B183" s="17">
        <v>1996</v>
      </c>
      <c r="C183" s="18">
        <v>39997.945</v>
      </c>
      <c r="D183" s="18">
        <v>28302.800999999999</v>
      </c>
    </row>
    <row r="184" spans="1:4" x14ac:dyDescent="0.3">
      <c r="A184" s="17" t="s">
        <v>67</v>
      </c>
      <c r="B184" s="17">
        <v>1997</v>
      </c>
      <c r="C184" s="18">
        <v>41519.980000000003</v>
      </c>
      <c r="D184" s="18">
        <v>28417.307000000001</v>
      </c>
    </row>
    <row r="185" spans="1:4" x14ac:dyDescent="0.3">
      <c r="A185" s="17" t="s">
        <v>67</v>
      </c>
      <c r="B185" s="17">
        <v>1998</v>
      </c>
      <c r="C185" s="18">
        <v>40128.703000000001</v>
      </c>
      <c r="D185" s="18">
        <v>28197.175999999999</v>
      </c>
    </row>
    <row r="186" spans="1:4" x14ac:dyDescent="0.3">
      <c r="A186" s="17" t="s">
        <v>67</v>
      </c>
      <c r="B186" s="17">
        <v>1999</v>
      </c>
      <c r="C186" s="18">
        <v>40450.991999999998</v>
      </c>
      <c r="D186" s="18">
        <v>28691.544999999998</v>
      </c>
    </row>
    <row r="187" spans="1:4" x14ac:dyDescent="0.3">
      <c r="A187" s="17" t="s">
        <v>67</v>
      </c>
      <c r="B187" s="17">
        <v>2000</v>
      </c>
      <c r="C187" s="18">
        <v>40795.379000000001</v>
      </c>
      <c r="D187" s="18">
        <v>29457.48</v>
      </c>
    </row>
    <row r="188" spans="1:4" x14ac:dyDescent="0.3">
      <c r="A188" s="17" t="s">
        <v>67</v>
      </c>
      <c r="B188" s="17">
        <v>2001</v>
      </c>
      <c r="C188" s="18">
        <v>40260.362999999998</v>
      </c>
      <c r="D188" s="18">
        <v>29614.561000000002</v>
      </c>
    </row>
    <row r="189" spans="1:4" x14ac:dyDescent="0.3">
      <c r="A189" s="17" t="s">
        <v>67</v>
      </c>
      <c r="B189" s="17">
        <v>2002</v>
      </c>
      <c r="C189" s="18">
        <v>41423.413999999997</v>
      </c>
      <c r="D189" s="18">
        <v>30085.199000000001</v>
      </c>
    </row>
    <row r="190" spans="1:4" x14ac:dyDescent="0.3">
      <c r="A190" s="17" t="s">
        <v>67</v>
      </c>
      <c r="B190" s="17">
        <v>2003</v>
      </c>
      <c r="C190" s="18">
        <v>44206.870999999999</v>
      </c>
      <c r="D190" s="18">
        <v>31648.42</v>
      </c>
    </row>
    <row r="191" spans="1:4" x14ac:dyDescent="0.3">
      <c r="A191" s="17" t="s">
        <v>67</v>
      </c>
      <c r="B191" s="17">
        <v>2004</v>
      </c>
      <c r="C191" s="18">
        <v>44421.226999999999</v>
      </c>
      <c r="D191" s="18">
        <v>32630.893</v>
      </c>
    </row>
    <row r="192" spans="1:4" x14ac:dyDescent="0.3">
      <c r="A192" s="17" t="s">
        <v>67</v>
      </c>
      <c r="B192" s="17">
        <v>2005</v>
      </c>
      <c r="C192" s="18">
        <v>45006.917999999998</v>
      </c>
      <c r="D192" s="18">
        <v>33687.421999999999</v>
      </c>
    </row>
    <row r="193" spans="1:4" x14ac:dyDescent="0.3">
      <c r="A193" s="17" t="s">
        <v>67</v>
      </c>
      <c r="B193" s="17">
        <v>2006</v>
      </c>
      <c r="C193" s="18">
        <v>46217.527000000002</v>
      </c>
      <c r="D193" s="18">
        <v>34735.453000000001</v>
      </c>
    </row>
    <row r="194" spans="1:4" x14ac:dyDescent="0.3">
      <c r="A194" s="17" t="s">
        <v>67</v>
      </c>
      <c r="B194" s="17">
        <v>2007</v>
      </c>
      <c r="C194" s="18">
        <v>46734.879000000001</v>
      </c>
      <c r="D194" s="18">
        <v>35622.355000000003</v>
      </c>
    </row>
    <row r="195" spans="1:4" x14ac:dyDescent="0.3">
      <c r="A195" s="17" t="s">
        <v>67</v>
      </c>
      <c r="B195" s="17">
        <v>2008</v>
      </c>
      <c r="C195" s="18">
        <v>47666.078000000001</v>
      </c>
      <c r="D195" s="18">
        <v>36193.508000000002</v>
      </c>
    </row>
    <row r="196" spans="1:4" x14ac:dyDescent="0.3">
      <c r="A196" s="17" t="s">
        <v>67</v>
      </c>
      <c r="B196" s="17">
        <v>2009</v>
      </c>
      <c r="C196" s="18">
        <v>47682.02</v>
      </c>
      <c r="D196" s="18">
        <v>35619.578000000001</v>
      </c>
    </row>
    <row r="197" spans="1:4" x14ac:dyDescent="0.3">
      <c r="A197" s="17" t="s">
        <v>67</v>
      </c>
      <c r="B197" s="17">
        <v>2010</v>
      </c>
      <c r="C197" s="18">
        <v>49602.09</v>
      </c>
      <c r="D197" s="18">
        <v>37505.769999999997</v>
      </c>
    </row>
    <row r="198" spans="1:4" x14ac:dyDescent="0.3">
      <c r="A198" s="17" t="s">
        <v>67</v>
      </c>
      <c r="B198" s="17">
        <v>2011</v>
      </c>
      <c r="C198" s="18">
        <v>50934.175999999999</v>
      </c>
      <c r="D198" s="18">
        <v>38830.555</v>
      </c>
    </row>
    <row r="199" spans="1:4" x14ac:dyDescent="0.3">
      <c r="A199" s="17" t="s">
        <v>67</v>
      </c>
      <c r="B199" s="17">
        <v>2012</v>
      </c>
      <c r="C199" s="18">
        <v>51787.148000000001</v>
      </c>
      <c r="D199" s="18">
        <v>39379.574000000001</v>
      </c>
    </row>
    <row r="200" spans="1:4" x14ac:dyDescent="0.3">
      <c r="A200" s="17" t="s">
        <v>67</v>
      </c>
      <c r="B200" s="17">
        <v>2013</v>
      </c>
      <c r="C200" s="18">
        <v>51689.281000000003</v>
      </c>
      <c r="D200" s="18">
        <v>39676.910000000003</v>
      </c>
    </row>
    <row r="201" spans="1:4" x14ac:dyDescent="0.3">
      <c r="A201" s="17" t="s">
        <v>67</v>
      </c>
      <c r="B201" s="17">
        <v>2014</v>
      </c>
      <c r="C201" s="18">
        <v>52086.366999999998</v>
      </c>
      <c r="D201" s="18">
        <v>39923.324000000001</v>
      </c>
    </row>
    <row r="202" spans="1:4" x14ac:dyDescent="0.3">
      <c r="A202" s="17" t="s">
        <v>67</v>
      </c>
      <c r="B202" s="17">
        <v>2015</v>
      </c>
      <c r="C202" s="18">
        <v>52119.311999999998</v>
      </c>
      <c r="D202" s="18">
        <v>39824.972999999998</v>
      </c>
    </row>
    <row r="203" spans="1:4" x14ac:dyDescent="0.3">
      <c r="A203" s="17" t="s">
        <v>67</v>
      </c>
      <c r="B203" s="17">
        <v>2016</v>
      </c>
      <c r="C203" s="18">
        <v>51013.093999999997</v>
      </c>
      <c r="D203" s="18">
        <v>39812.508000000002</v>
      </c>
    </row>
    <row r="204" spans="1:4" x14ac:dyDescent="0.3">
      <c r="A204" s="17" t="s">
        <v>67</v>
      </c>
      <c r="B204" s="17">
        <v>2017</v>
      </c>
      <c r="C204" s="18">
        <v>51702.663999999997</v>
      </c>
      <c r="D204" s="18">
        <v>40479.065999999999</v>
      </c>
    </row>
    <row r="205" spans="1:4" x14ac:dyDescent="0.3">
      <c r="A205" s="17" t="s">
        <v>67</v>
      </c>
      <c r="B205" s="17">
        <v>2018</v>
      </c>
      <c r="C205" s="18">
        <v>52139.288999999997</v>
      </c>
      <c r="D205" s="18">
        <v>41362.038999999997</v>
      </c>
    </row>
    <row r="206" spans="1:4" x14ac:dyDescent="0.3">
      <c r="A206" s="17" t="s">
        <v>67</v>
      </c>
      <c r="B206" s="17">
        <v>2019</v>
      </c>
      <c r="C206" s="18">
        <v>52571.34</v>
      </c>
      <c r="D206" s="18">
        <v>41798.785000000003</v>
      </c>
    </row>
    <row r="207" spans="1:4" x14ac:dyDescent="0.3">
      <c r="A207" s="17" t="s">
        <v>67</v>
      </c>
      <c r="B207" s="17">
        <v>2020</v>
      </c>
      <c r="C207" s="18">
        <v>50601.266000000003</v>
      </c>
      <c r="D207" s="18">
        <v>40091.508000000002</v>
      </c>
    </row>
    <row r="208" spans="1:4" x14ac:dyDescent="0.3">
      <c r="A208" s="17" t="s">
        <v>67</v>
      </c>
      <c r="B208" s="17">
        <v>2021</v>
      </c>
      <c r="C208" s="18">
        <v>52639.843999999997</v>
      </c>
      <c r="D208" s="18">
        <v>41943.741999999998</v>
      </c>
    </row>
    <row r="209" spans="1:4" x14ac:dyDescent="0.3">
      <c r="A209" s="17" t="s">
        <v>67</v>
      </c>
      <c r="B209" s="17">
        <v>2022</v>
      </c>
      <c r="C209" s="18">
        <v>53515.586000000003</v>
      </c>
      <c r="D209" s="18">
        <v>42687.125</v>
      </c>
    </row>
    <row r="210" spans="1:4" x14ac:dyDescent="0.3">
      <c r="A210" s="17" t="s">
        <v>67</v>
      </c>
      <c r="B210" s="17">
        <v>2023</v>
      </c>
      <c r="C210" s="18">
        <v>54092.184000000001</v>
      </c>
      <c r="D210" s="18">
        <v>43274.887000000002</v>
      </c>
    </row>
    <row r="211" spans="1:4" x14ac:dyDescent="0.3">
      <c r="A211" s="17" t="s">
        <v>67</v>
      </c>
      <c r="B211" s="17">
        <v>2024</v>
      </c>
      <c r="C211" s="18">
        <v>54433.398000000001</v>
      </c>
      <c r="D211" s="18">
        <v>43714.777000000002</v>
      </c>
    </row>
    <row r="212" spans="1:4" x14ac:dyDescent="0.3">
      <c r="A212" s="1" t="s">
        <v>69</v>
      </c>
      <c r="B212" s="1">
        <v>1990</v>
      </c>
      <c r="C212" s="2">
        <v>10506.21</v>
      </c>
      <c r="D212" s="2">
        <v>9153.4210000000003</v>
      </c>
    </row>
    <row r="213" spans="1:4" x14ac:dyDescent="0.3">
      <c r="A213" s="1" t="s">
        <v>69</v>
      </c>
      <c r="B213" s="1">
        <v>1991</v>
      </c>
      <c r="C213" s="2">
        <v>10184.172</v>
      </c>
      <c r="D213" s="2">
        <v>8820.6509999999998</v>
      </c>
    </row>
    <row r="214" spans="1:4" x14ac:dyDescent="0.3">
      <c r="A214" s="1" t="s">
        <v>69</v>
      </c>
      <c r="B214" s="1">
        <v>1992</v>
      </c>
      <c r="C214" s="2">
        <v>9300.8790000000008</v>
      </c>
      <c r="D214" s="2">
        <v>8132.6279999999997</v>
      </c>
    </row>
    <row r="215" spans="1:4" x14ac:dyDescent="0.3">
      <c r="A215" s="1" t="s">
        <v>69</v>
      </c>
      <c r="B215" s="1">
        <v>1993</v>
      </c>
      <c r="C215" s="2">
        <v>8860.1640000000007</v>
      </c>
      <c r="D215" s="2">
        <v>7802.4989999999998</v>
      </c>
    </row>
    <row r="216" spans="1:4" x14ac:dyDescent="0.3">
      <c r="A216" s="1" t="s">
        <v>69</v>
      </c>
      <c r="B216" s="1">
        <v>1994</v>
      </c>
      <c r="C216" s="2">
        <v>8353.56</v>
      </c>
      <c r="D216" s="2">
        <v>7400.0739999999996</v>
      </c>
    </row>
    <row r="217" spans="1:4" x14ac:dyDescent="0.3">
      <c r="A217" s="1" t="s">
        <v>69</v>
      </c>
      <c r="B217" s="1">
        <v>1995</v>
      </c>
      <c r="C217" s="2">
        <v>8249.3320000000003</v>
      </c>
      <c r="D217" s="2">
        <v>7376.0349999999999</v>
      </c>
    </row>
    <row r="218" spans="1:4" x14ac:dyDescent="0.3">
      <c r="A218" s="1" t="s">
        <v>69</v>
      </c>
      <c r="B218" s="1">
        <v>1996</v>
      </c>
      <c r="C218" s="2">
        <v>8630.8320000000003</v>
      </c>
      <c r="D218" s="2">
        <v>7412.0969999999998</v>
      </c>
    </row>
    <row r="219" spans="1:4" x14ac:dyDescent="0.3">
      <c r="A219" s="1" t="s">
        <v>69</v>
      </c>
      <c r="B219" s="1">
        <v>1997</v>
      </c>
      <c r="C219" s="2">
        <v>7967.5720000000001</v>
      </c>
      <c r="D219" s="2">
        <v>7183.9229999999998</v>
      </c>
    </row>
    <row r="220" spans="1:4" x14ac:dyDescent="0.3">
      <c r="A220" s="1" t="s">
        <v>69</v>
      </c>
      <c r="B220" s="1">
        <v>1998</v>
      </c>
      <c r="C220" s="2">
        <v>7906.6840000000002</v>
      </c>
      <c r="D220" s="2">
        <v>7102.4170000000004</v>
      </c>
    </row>
    <row r="221" spans="1:4" x14ac:dyDescent="0.3">
      <c r="A221" s="1" t="s">
        <v>69</v>
      </c>
      <c r="B221" s="1">
        <v>1999</v>
      </c>
      <c r="C221" s="2">
        <v>7817.1940000000004</v>
      </c>
      <c r="D221" s="2">
        <v>7013.1059999999998</v>
      </c>
    </row>
    <row r="222" spans="1:4" x14ac:dyDescent="0.3">
      <c r="A222" s="1" t="s">
        <v>69</v>
      </c>
      <c r="B222" s="1">
        <v>2000</v>
      </c>
      <c r="C222" s="2">
        <v>7674.1660000000002</v>
      </c>
      <c r="D222" s="2">
        <v>7009.9390000000003</v>
      </c>
    </row>
    <row r="223" spans="1:4" x14ac:dyDescent="0.3">
      <c r="A223" s="1" t="s">
        <v>69</v>
      </c>
      <c r="B223" s="1">
        <v>2001</v>
      </c>
      <c r="C223" s="2">
        <v>7756.66</v>
      </c>
      <c r="D223" s="2">
        <v>7134.0810000000001</v>
      </c>
    </row>
    <row r="224" spans="1:4" x14ac:dyDescent="0.3">
      <c r="A224" s="1" t="s">
        <v>69</v>
      </c>
      <c r="B224" s="1">
        <v>2002</v>
      </c>
      <c r="C224" s="2">
        <v>7679.3239999999996</v>
      </c>
      <c r="D224" s="2">
        <v>7098.77</v>
      </c>
    </row>
    <row r="225" spans="1:4" x14ac:dyDescent="0.3">
      <c r="A225" s="1" t="s">
        <v>69</v>
      </c>
      <c r="B225" s="1">
        <v>2003</v>
      </c>
      <c r="C225" s="2">
        <v>7886.1729999999998</v>
      </c>
      <c r="D225" s="2">
        <v>7245.3630000000003</v>
      </c>
    </row>
    <row r="226" spans="1:4" x14ac:dyDescent="0.3">
      <c r="A226" s="1" t="s">
        <v>69</v>
      </c>
      <c r="B226" s="1">
        <v>2004</v>
      </c>
      <c r="C226" s="2">
        <v>7879.8450000000003</v>
      </c>
      <c r="D226" s="2">
        <v>7269.4340000000002</v>
      </c>
    </row>
    <row r="227" spans="1:4" x14ac:dyDescent="0.3">
      <c r="A227" s="1" t="s">
        <v>69</v>
      </c>
      <c r="B227" s="1">
        <v>2005</v>
      </c>
      <c r="C227" s="2">
        <v>7925.6779999999999</v>
      </c>
      <c r="D227" s="2">
        <v>7275.7669999999998</v>
      </c>
    </row>
    <row r="228" spans="1:4" x14ac:dyDescent="0.3">
      <c r="A228" s="1" t="s">
        <v>69</v>
      </c>
      <c r="B228" s="1">
        <v>2006</v>
      </c>
      <c r="C228" s="2">
        <v>7987.1419999999998</v>
      </c>
      <c r="D228" s="2">
        <v>7372.3869999999997</v>
      </c>
    </row>
    <row r="229" spans="1:4" x14ac:dyDescent="0.3">
      <c r="A229" s="1" t="s">
        <v>69</v>
      </c>
      <c r="B229" s="1">
        <v>2007</v>
      </c>
      <c r="C229" s="2">
        <v>8072.3940000000002</v>
      </c>
      <c r="D229" s="2">
        <v>7319.0069999999996</v>
      </c>
    </row>
    <row r="230" spans="1:4" x14ac:dyDescent="0.3">
      <c r="A230" s="1" t="s">
        <v>69</v>
      </c>
      <c r="B230" s="1">
        <v>2008</v>
      </c>
      <c r="C230" s="2">
        <v>7900.5050000000001</v>
      </c>
      <c r="D230" s="2">
        <v>7233.5370000000003</v>
      </c>
    </row>
    <row r="231" spans="1:4" x14ac:dyDescent="0.3">
      <c r="A231" s="1" t="s">
        <v>69</v>
      </c>
      <c r="B231" s="1">
        <v>2009</v>
      </c>
      <c r="C231" s="2">
        <v>7557.5370000000003</v>
      </c>
      <c r="D231" s="2">
        <v>6693.4690000000001</v>
      </c>
    </row>
    <row r="232" spans="1:4" x14ac:dyDescent="0.3">
      <c r="A232" s="1" t="s">
        <v>69</v>
      </c>
      <c r="B232" s="1">
        <v>2010</v>
      </c>
      <c r="C232" s="2">
        <v>7913.067</v>
      </c>
      <c r="D232" s="2">
        <v>6930.0420000000004</v>
      </c>
    </row>
    <row r="233" spans="1:4" x14ac:dyDescent="0.3">
      <c r="A233" s="1" t="s">
        <v>69</v>
      </c>
      <c r="B233" s="1">
        <v>2011</v>
      </c>
      <c r="C233" s="2">
        <v>7612.527</v>
      </c>
      <c r="D233" s="2">
        <v>6864.2610000000004</v>
      </c>
    </row>
    <row r="234" spans="1:4" x14ac:dyDescent="0.3">
      <c r="A234" s="1" t="s">
        <v>69</v>
      </c>
      <c r="B234" s="1">
        <v>2012</v>
      </c>
      <c r="C234" s="2">
        <v>7804.7889999999998</v>
      </c>
      <c r="D234" s="2">
        <v>6819.634</v>
      </c>
    </row>
    <row r="235" spans="1:4" x14ac:dyDescent="0.3">
      <c r="A235" s="1" t="s">
        <v>69</v>
      </c>
      <c r="B235" s="1">
        <v>2013</v>
      </c>
      <c r="C235" s="2">
        <v>7540.741</v>
      </c>
      <c r="D235" s="2">
        <v>6652.7120000000004</v>
      </c>
    </row>
    <row r="236" spans="1:4" x14ac:dyDescent="0.3">
      <c r="A236" s="1" t="s">
        <v>69</v>
      </c>
      <c r="B236" s="1">
        <v>2014</v>
      </c>
      <c r="C236" s="2">
        <v>7190.634</v>
      </c>
      <c r="D236" s="2">
        <v>6406.87</v>
      </c>
    </row>
    <row r="237" spans="1:4" x14ac:dyDescent="0.3">
      <c r="A237" s="1" t="s">
        <v>69</v>
      </c>
      <c r="B237" s="1">
        <v>2015</v>
      </c>
      <c r="C237" s="2">
        <v>7478.6880000000001</v>
      </c>
      <c r="D237" s="2">
        <v>6407.0150000000003</v>
      </c>
    </row>
    <row r="238" spans="1:4" x14ac:dyDescent="0.3">
      <c r="A238" s="1" t="s">
        <v>69</v>
      </c>
      <c r="B238" s="1">
        <v>2016</v>
      </c>
      <c r="C238" s="2">
        <v>7472.9790000000003</v>
      </c>
      <c r="D238" s="2">
        <v>6402.991</v>
      </c>
    </row>
    <row r="239" spans="1:4" x14ac:dyDescent="0.3">
      <c r="A239" s="1" t="s">
        <v>69</v>
      </c>
      <c r="B239" s="1">
        <v>2017</v>
      </c>
      <c r="C239" s="2">
        <v>7487.0749999999998</v>
      </c>
      <c r="D239" s="2">
        <v>6448.5110000000004</v>
      </c>
    </row>
    <row r="240" spans="1:4" x14ac:dyDescent="0.3">
      <c r="A240" s="1" t="s">
        <v>69</v>
      </c>
      <c r="B240" s="1">
        <v>2018</v>
      </c>
      <c r="C240" s="2">
        <v>7428.8050000000003</v>
      </c>
      <c r="D240" s="2">
        <v>6451.1639999999998</v>
      </c>
    </row>
    <row r="241" spans="1:4" x14ac:dyDescent="0.3">
      <c r="A241" s="1" t="s">
        <v>69</v>
      </c>
      <c r="B241" s="1">
        <v>2019</v>
      </c>
      <c r="C241" s="2">
        <v>7214.96</v>
      </c>
      <c r="D241" s="2">
        <v>6285.2510000000002</v>
      </c>
    </row>
    <row r="242" spans="1:4" x14ac:dyDescent="0.3">
      <c r="A242" s="1" t="s">
        <v>69</v>
      </c>
      <c r="B242" s="1">
        <v>2020</v>
      </c>
      <c r="C242" s="2">
        <v>6694.4380000000001</v>
      </c>
      <c r="D242" s="2">
        <v>5849.6859999999997</v>
      </c>
    </row>
    <row r="243" spans="1:4" x14ac:dyDescent="0.3">
      <c r="A243" s="1" t="s">
        <v>69</v>
      </c>
      <c r="B243" s="1">
        <v>2021</v>
      </c>
      <c r="C243" s="2">
        <v>7014.0429999999997</v>
      </c>
      <c r="D243" s="2">
        <v>6118.9080000000004</v>
      </c>
    </row>
    <row r="244" spans="1:4" x14ac:dyDescent="0.3">
      <c r="A244" s="1" t="s">
        <v>69</v>
      </c>
      <c r="B244" s="1">
        <v>2022</v>
      </c>
      <c r="C244" s="2">
        <v>6901.25</v>
      </c>
      <c r="D244" s="2">
        <v>5935.3190000000004</v>
      </c>
    </row>
    <row r="245" spans="1:4" x14ac:dyDescent="0.3">
      <c r="A245" s="1" t="s">
        <v>69</v>
      </c>
      <c r="B245" s="1">
        <v>2023</v>
      </c>
      <c r="C245" s="2">
        <v>6693.6530000000002</v>
      </c>
      <c r="D245" s="2">
        <v>5720.6570000000002</v>
      </c>
    </row>
    <row r="246" spans="1:4" x14ac:dyDescent="0.3">
      <c r="A246" s="1" t="s">
        <v>69</v>
      </c>
      <c r="B246" s="1">
        <v>2024</v>
      </c>
      <c r="C246" s="2">
        <v>6676.0280000000002</v>
      </c>
      <c r="D246" s="2">
        <v>5717.0360000000001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EB281-597E-4A39-989E-F8536C7824E7}">
  <sheetPr codeName="Sheet2"/>
  <dimension ref="A1:E16"/>
  <sheetViews>
    <sheetView tabSelected="1" workbookViewId="0">
      <selection activeCell="B27" sqref="B27"/>
    </sheetView>
  </sheetViews>
  <sheetFormatPr defaultRowHeight="14.4" x14ac:dyDescent="0.3"/>
  <cols>
    <col min="1" max="1" width="31.88671875" bestFit="1" customWidth="1"/>
    <col min="2" max="2" width="52.21875" customWidth="1"/>
    <col min="3" max="3" width="152.21875" bestFit="1" customWidth="1"/>
    <col min="4" max="4" width="30.109375" bestFit="1" customWidth="1"/>
    <col min="5" max="5" width="192.33203125" customWidth="1"/>
  </cols>
  <sheetData>
    <row r="1" spans="1:5" x14ac:dyDescent="0.3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</row>
    <row r="2" spans="1:5" x14ac:dyDescent="0.3">
      <c r="A2" t="s">
        <v>0</v>
      </c>
      <c r="B2" t="s">
        <v>25</v>
      </c>
      <c r="C2" t="s">
        <v>26</v>
      </c>
      <c r="E2" t="s">
        <v>27</v>
      </c>
    </row>
    <row r="3" spans="1:5" x14ac:dyDescent="0.3">
      <c r="A3" t="s">
        <v>1</v>
      </c>
      <c r="B3" t="s">
        <v>28</v>
      </c>
      <c r="C3" t="s">
        <v>29</v>
      </c>
      <c r="E3" t="s">
        <v>27</v>
      </c>
    </row>
    <row r="4" spans="1:5" x14ac:dyDescent="0.3">
      <c r="A4" t="s">
        <v>2</v>
      </c>
      <c r="B4" t="s">
        <v>30</v>
      </c>
      <c r="C4" t="s">
        <v>31</v>
      </c>
      <c r="E4" t="s">
        <v>32</v>
      </c>
    </row>
    <row r="5" spans="1:5" x14ac:dyDescent="0.3">
      <c r="A5" t="s">
        <v>3</v>
      </c>
      <c r="B5" t="s">
        <v>33</v>
      </c>
      <c r="C5" t="s">
        <v>34</v>
      </c>
      <c r="D5" t="s">
        <v>35</v>
      </c>
      <c r="E5" t="s">
        <v>36</v>
      </c>
    </row>
    <row r="6" spans="1:5" x14ac:dyDescent="0.3">
      <c r="A6" t="s">
        <v>4</v>
      </c>
      <c r="B6" t="s">
        <v>37</v>
      </c>
      <c r="C6" t="s">
        <v>38</v>
      </c>
      <c r="D6" t="s">
        <v>39</v>
      </c>
      <c r="E6" t="s">
        <v>40</v>
      </c>
    </row>
    <row r="7" spans="1:5" x14ac:dyDescent="0.3">
      <c r="A7" t="s">
        <v>15</v>
      </c>
      <c r="B7" t="s">
        <v>15</v>
      </c>
      <c r="C7" t="s">
        <v>41</v>
      </c>
      <c r="D7" t="s">
        <v>39</v>
      </c>
    </row>
    <row r="8" spans="1:5" x14ac:dyDescent="0.3">
      <c r="A8" t="s">
        <v>42</v>
      </c>
      <c r="B8" t="s">
        <v>43</v>
      </c>
      <c r="C8" t="s">
        <v>44</v>
      </c>
      <c r="D8" t="s">
        <v>45</v>
      </c>
      <c r="E8" t="s">
        <v>46</v>
      </c>
    </row>
    <row r="9" spans="1:5" x14ac:dyDescent="0.3">
      <c r="A9" t="s">
        <v>16</v>
      </c>
      <c r="B9" t="s">
        <v>47</v>
      </c>
      <c r="C9" t="s">
        <v>48</v>
      </c>
      <c r="D9" t="s">
        <v>49</v>
      </c>
      <c r="E9" t="s">
        <v>50</v>
      </c>
    </row>
    <row r="10" spans="1:5" x14ac:dyDescent="0.3">
      <c r="A10" t="s">
        <v>51</v>
      </c>
      <c r="B10" t="s">
        <v>52</v>
      </c>
      <c r="C10" t="s">
        <v>53</v>
      </c>
      <c r="D10" t="s">
        <v>54</v>
      </c>
      <c r="E10" t="s">
        <v>55</v>
      </c>
    </row>
    <row r="11" spans="1:5" x14ac:dyDescent="0.3">
      <c r="A11" t="s">
        <v>17</v>
      </c>
      <c r="B11" t="s">
        <v>56</v>
      </c>
      <c r="C11" t="s">
        <v>57</v>
      </c>
      <c r="D11" t="s">
        <v>58</v>
      </c>
      <c r="E11" t="s">
        <v>59</v>
      </c>
    </row>
    <row r="12" spans="1:5" x14ac:dyDescent="0.3">
      <c r="A12" t="s">
        <v>18</v>
      </c>
      <c r="B12" t="s">
        <v>60</v>
      </c>
      <c r="C12" t="s">
        <v>61</v>
      </c>
      <c r="D12" t="s">
        <v>62</v>
      </c>
      <c r="E12" t="s">
        <v>63</v>
      </c>
    </row>
    <row r="13" spans="1:5" x14ac:dyDescent="0.3">
      <c r="A13" t="s">
        <v>19</v>
      </c>
      <c r="B13" t="s">
        <v>64</v>
      </c>
      <c r="C13" t="s">
        <v>65</v>
      </c>
      <c r="D13" t="s">
        <v>54</v>
      </c>
      <c r="E13" t="s">
        <v>46</v>
      </c>
    </row>
    <row r="14" spans="1:5" x14ac:dyDescent="0.3">
      <c r="A14" t="s">
        <v>71</v>
      </c>
      <c r="B14" t="s">
        <v>72</v>
      </c>
      <c r="C14" t="s">
        <v>73</v>
      </c>
      <c r="D14" t="s">
        <v>45</v>
      </c>
      <c r="E14" t="s">
        <v>46</v>
      </c>
    </row>
    <row r="15" spans="1:5" x14ac:dyDescent="0.3">
      <c r="A15" t="s">
        <v>74</v>
      </c>
      <c r="B15" t="s">
        <v>75</v>
      </c>
      <c r="C15" t="s">
        <v>76</v>
      </c>
      <c r="D15" t="s">
        <v>45</v>
      </c>
      <c r="E15" t="s">
        <v>55</v>
      </c>
    </row>
    <row r="16" spans="1:5" x14ac:dyDescent="0.3">
      <c r="A16" t="s">
        <v>77</v>
      </c>
      <c r="B16" t="s">
        <v>78</v>
      </c>
      <c r="C16" t="s">
        <v>76</v>
      </c>
      <c r="D16" t="s">
        <v>45</v>
      </c>
      <c r="E16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mastersheet</vt:lpstr>
      <vt:lpstr>emissions type</vt:lpstr>
      <vt:lpstr>variable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ARYA</dc:creator>
  <cp:lastModifiedBy>ANJALI ARYA</cp:lastModifiedBy>
  <dcterms:created xsi:type="dcterms:W3CDTF">2026-03-25T11:01:02Z</dcterms:created>
  <dcterms:modified xsi:type="dcterms:W3CDTF">2026-04-07T10:46:58Z</dcterms:modified>
</cp:coreProperties>
</file>